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R_code\R_code2\Data\POSE_Data\"/>
    </mc:Choice>
  </mc:AlternateContent>
  <xr:revisionPtr revIDLastSave="0" documentId="13_ncr:1_{CAC6032A-74D1-4D3F-81FA-AC75FC45C450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POSE_Data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14" i="1"/>
  <c r="S15" i="1"/>
  <c r="S16" i="1"/>
  <c r="S17" i="1"/>
  <c r="S22" i="1"/>
  <c r="S23" i="1"/>
  <c r="S24" i="1"/>
  <c r="S25" i="1"/>
  <c r="S34" i="1"/>
  <c r="S35" i="1"/>
  <c r="S36" i="1"/>
  <c r="S37" i="1"/>
  <c r="S46" i="1"/>
  <c r="S47" i="1"/>
  <c r="S48" i="1"/>
  <c r="S49" i="1"/>
  <c r="S54" i="1"/>
  <c r="S55" i="1"/>
  <c r="S56" i="1"/>
  <c r="S57" i="1"/>
  <c r="S66" i="1"/>
  <c r="S67" i="1"/>
  <c r="S68" i="1"/>
  <c r="S69" i="1"/>
  <c r="S58" i="1"/>
  <c r="S59" i="1"/>
  <c r="S60" i="1"/>
  <c r="S61" i="1"/>
  <c r="S50" i="1"/>
  <c r="S51" i="1"/>
  <c r="S52" i="1"/>
  <c r="S53" i="1"/>
  <c r="S42" i="1"/>
  <c r="S43" i="1"/>
  <c r="S44" i="1"/>
  <c r="S45" i="1"/>
  <c r="S26" i="1"/>
  <c r="S27" i="1"/>
  <c r="S28" i="1"/>
  <c r="S29" i="1"/>
  <c r="S18" i="1"/>
  <c r="S19" i="1"/>
  <c r="S20" i="1"/>
  <c r="S21" i="1"/>
  <c r="S10" i="1"/>
  <c r="S11" i="1"/>
  <c r="S12" i="1"/>
  <c r="S13" i="1"/>
  <c r="S30" i="1"/>
  <c r="S31" i="1"/>
  <c r="S32" i="1"/>
  <c r="S33" i="1"/>
  <c r="S6" i="1"/>
  <c r="S7" i="1"/>
  <c r="S8" i="1"/>
  <c r="S9" i="1"/>
  <c r="S62" i="1"/>
  <c r="S63" i="1"/>
  <c r="S64" i="1"/>
  <c r="S65" i="1"/>
  <c r="S38" i="1"/>
  <c r="S39" i="1"/>
  <c r="S40" i="1"/>
  <c r="S41" i="1"/>
  <c r="S2" i="1"/>
  <c r="R3" i="1"/>
  <c r="R4" i="1"/>
  <c r="R5" i="1"/>
  <c r="R14" i="1"/>
  <c r="R15" i="1"/>
  <c r="R16" i="1"/>
  <c r="R17" i="1"/>
  <c r="R22" i="1"/>
  <c r="R23" i="1"/>
  <c r="R24" i="1"/>
  <c r="R25" i="1"/>
  <c r="R34" i="1"/>
  <c r="R35" i="1"/>
  <c r="R36" i="1"/>
  <c r="R37" i="1"/>
  <c r="R46" i="1"/>
  <c r="R47" i="1"/>
  <c r="R48" i="1"/>
  <c r="R49" i="1"/>
  <c r="R54" i="1"/>
  <c r="R55" i="1"/>
  <c r="R56" i="1"/>
  <c r="R57" i="1"/>
  <c r="R66" i="1"/>
  <c r="R67" i="1"/>
  <c r="R68" i="1"/>
  <c r="R69" i="1"/>
  <c r="R58" i="1"/>
  <c r="R59" i="1"/>
  <c r="R60" i="1"/>
  <c r="R61" i="1"/>
  <c r="R50" i="1"/>
  <c r="R51" i="1"/>
  <c r="R52" i="1"/>
  <c r="R53" i="1"/>
  <c r="R42" i="1"/>
  <c r="R43" i="1"/>
  <c r="R44" i="1"/>
  <c r="R45" i="1"/>
  <c r="R26" i="1"/>
  <c r="R27" i="1"/>
  <c r="R28" i="1"/>
  <c r="R29" i="1"/>
  <c r="R18" i="1"/>
  <c r="R19" i="1"/>
  <c r="R20" i="1"/>
  <c r="R21" i="1"/>
  <c r="R10" i="1"/>
  <c r="R11" i="1"/>
  <c r="R12" i="1"/>
  <c r="R13" i="1"/>
  <c r="R30" i="1"/>
  <c r="R31" i="1"/>
  <c r="R32" i="1"/>
  <c r="R33" i="1"/>
  <c r="R6" i="1"/>
  <c r="R7" i="1"/>
  <c r="R8" i="1"/>
  <c r="R9" i="1"/>
  <c r="R62" i="1"/>
  <c r="R63" i="1"/>
  <c r="R64" i="1"/>
  <c r="R65" i="1"/>
  <c r="R38" i="1"/>
  <c r="R39" i="1"/>
  <c r="R40" i="1"/>
  <c r="R41" i="1"/>
  <c r="R2" i="1"/>
  <c r="C3" i="1"/>
  <c r="C4" i="1"/>
  <c r="C5" i="1"/>
  <c r="C14" i="1"/>
  <c r="C15" i="1"/>
  <c r="C16" i="1"/>
  <c r="C17" i="1"/>
  <c r="C22" i="1"/>
  <c r="C23" i="1"/>
  <c r="C24" i="1"/>
  <c r="C25" i="1"/>
  <c r="C34" i="1"/>
  <c r="C35" i="1"/>
  <c r="C36" i="1"/>
  <c r="C37" i="1"/>
  <c r="C46" i="1"/>
  <c r="C47" i="1"/>
  <c r="C48" i="1"/>
  <c r="C49" i="1"/>
  <c r="C54" i="1"/>
  <c r="C55" i="1"/>
  <c r="C56" i="1"/>
  <c r="C57" i="1"/>
  <c r="C66" i="1"/>
  <c r="C67" i="1"/>
  <c r="C68" i="1"/>
  <c r="C69" i="1"/>
  <c r="C58" i="1"/>
  <c r="C59" i="1"/>
  <c r="C60" i="1"/>
  <c r="C61" i="1"/>
  <c r="C50" i="1"/>
  <c r="C51" i="1"/>
  <c r="C52" i="1"/>
  <c r="C53" i="1"/>
  <c r="C42" i="1"/>
  <c r="C43" i="1"/>
  <c r="C44" i="1"/>
  <c r="C45" i="1"/>
  <c r="C26" i="1"/>
  <c r="C27" i="1"/>
  <c r="C28" i="1"/>
  <c r="C29" i="1"/>
  <c r="C18" i="1"/>
  <c r="C19" i="1"/>
  <c r="C20" i="1"/>
  <c r="C21" i="1"/>
  <c r="C10" i="1"/>
  <c r="C11" i="1"/>
  <c r="C12" i="1"/>
  <c r="C13" i="1"/>
  <c r="C30" i="1"/>
  <c r="C31" i="1"/>
  <c r="C32" i="1"/>
  <c r="C33" i="1"/>
  <c r="C6" i="1"/>
  <c r="C7" i="1"/>
  <c r="C8" i="1"/>
  <c r="C9" i="1"/>
  <c r="C62" i="1"/>
  <c r="C63" i="1"/>
  <c r="C64" i="1"/>
  <c r="C65" i="1"/>
  <c r="C38" i="1"/>
  <c r="C39" i="1"/>
  <c r="C40" i="1"/>
  <c r="C41" i="1"/>
  <c r="C2" i="1"/>
  <c r="D41" i="1" l="1"/>
  <c r="D40" i="1"/>
  <c r="D39" i="1"/>
  <c r="D38" i="1"/>
  <c r="D65" i="1"/>
  <c r="D64" i="1"/>
  <c r="D63" i="1"/>
  <c r="D62" i="1"/>
  <c r="D9" i="1"/>
  <c r="D8" i="1"/>
  <c r="D7" i="1"/>
  <c r="D6" i="1"/>
  <c r="D33" i="1"/>
  <c r="D32" i="1"/>
  <c r="D31" i="1"/>
  <c r="D30" i="1"/>
  <c r="D13" i="1"/>
  <c r="D12" i="1"/>
  <c r="D11" i="1"/>
  <c r="D10" i="1"/>
  <c r="D21" i="1"/>
  <c r="D20" i="1"/>
  <c r="D19" i="1"/>
  <c r="D18" i="1"/>
  <c r="D29" i="1"/>
  <c r="D28" i="1"/>
  <c r="D27" i="1"/>
  <c r="D26" i="1"/>
  <c r="D45" i="1"/>
  <c r="D44" i="1"/>
  <c r="D43" i="1"/>
  <c r="D42" i="1"/>
  <c r="D53" i="1"/>
  <c r="D52" i="1"/>
  <c r="D51" i="1"/>
  <c r="D50" i="1"/>
  <c r="D61" i="1"/>
  <c r="D60" i="1"/>
  <c r="D59" i="1"/>
  <c r="D58" i="1"/>
  <c r="D69" i="1"/>
  <c r="D68" i="1"/>
  <c r="D67" i="1"/>
  <c r="D66" i="1"/>
  <c r="D57" i="1"/>
  <c r="D56" i="1"/>
  <c r="D55" i="1"/>
  <c r="D54" i="1"/>
  <c r="D49" i="1"/>
  <c r="D48" i="1"/>
  <c r="D47" i="1"/>
  <c r="D46" i="1"/>
  <c r="D37" i="1"/>
  <c r="D36" i="1"/>
  <c r="D35" i="1"/>
  <c r="D34" i="1"/>
  <c r="D25" i="1"/>
  <c r="D24" i="1"/>
  <c r="D23" i="1"/>
  <c r="D22" i="1"/>
  <c r="D3" i="1"/>
  <c r="D4" i="1"/>
  <c r="D5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<sst xmlns="http://schemas.openxmlformats.org/spreadsheetml/2006/main" count="226" uniqueCount="28">
  <si>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</si>
  <si>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</si>
  <si>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</si>
  <si>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</si>
  <si>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</si>
  <si>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</si>
  <si>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</si>
  <si>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Group</t>
  </si>
  <si>
    <t>Column</t>
  </si>
  <si>
    <t>Row</t>
  </si>
  <si>
    <t>Corrections</t>
  </si>
  <si>
    <t>POSE</t>
  </si>
  <si>
    <t>C</t>
  </si>
  <si>
    <t>H</t>
  </si>
  <si>
    <t>L</t>
  </si>
  <si>
    <t>W</t>
  </si>
  <si>
    <t>Day_Weighed</t>
  </si>
  <si>
    <t>Month_Weighed</t>
  </si>
  <si>
    <t>Year_Weighed</t>
  </si>
  <si>
    <t>Root_Biomass_g</t>
  </si>
  <si>
    <t>Shoot_Biomass_g</t>
  </si>
  <si>
    <t>Num_Plants_SH</t>
  </si>
  <si>
    <t>Num_Plants_RT</t>
  </si>
  <si>
    <t>Need  to verify counts with scans</t>
  </si>
  <si>
    <t>AVG_RT_BMSS_g</t>
  </si>
  <si>
    <t>AVG_SH_BMSS_g</t>
  </si>
  <si>
    <t>Night_Scale_7</t>
  </si>
  <si>
    <t>Day_Scale_7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</si>
</sst>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V85"/>
  <sheetViews>
    <sheetView tabSelected="1" topLeftCell="G1" zoomScale="48" zoomScaleNormal="222" workbookViewId="0">
      <pane ySplit="1" topLeftCell="A2" activePane="bottomLeft" state="frozen"/>
      <selection pane="bottomLeft" activeCell="V5" sqref="V5"/>
    </sheetView>
  </sheetViews>
  <sheetFormatPr defaultColWidth="10.83203125" defaultRowHeight="16" x14ac:dyDescent="0.4"/>
  <cols>
    <col min="10" max="10" width="12.1640625" customWidth="1"/>
    <col min="11" max="11" width="6.5" customWidth="1"/>
    <col min="12" max="12" width="7.5" customWidth="1"/>
    <col min="13" max="13" width="5.1640625" customWidth="1"/>
    <col min="14" max="19" width="0" hidden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7</v>
      </c>
      <c r="L1" t="s">
        <v>8</v>
      </c>
      <c r="M1" t="s">
        <v>9</v>
      </c>
      <c r="N1" t="s">
        <v>19</v>
      </c>
      <c r="O1" t="s">
        <v>20</v>
      </c>
      <c r="P1" t="s">
        <v>22</v>
      </c>
      <c r="Q1" t="s">
        <v>21</v>
      </c>
      <c r="R1" t="s">
        <v>24</v>
      </c>
      <c r="S1" t="s">
        <v>25</v>
      </c>
      <c r="T1" t="s">
        <v>10</v>
      </c>
      <c r="U1" t="s">
        <v>26</v>
      </c>
      <c r="V1" t="s">
        <v>27</v>
      </c>
    </row>
    <row r="2" spans="1:22" x14ac:dyDescent="0.4">
      <c r="A2" t="s">
        <v>11</v>
      </c>
      <c r="B2" t="s">
        <v>12</v>
      </c>
      <c r="C2" t="str">
        <f t="shared" ref="C2:C33" si="0">IF(B2="L","Low SA Level",IF(B2="C","Control",IF(B2="W","Water Only",IF(B2="H","High SA Level"))))</f>
        <v>Control</v>
      </c>
      <c r="D2" s="1" t="str">
        <f t="shared" ref="D2:D33" si="1">IF(B2="L","0.5",IF(B2="C","0.0",IF(B2="W","0.0",IF(B2="H","1.0"))))</f>
        <v>0.0</v>
      </c>
      <c r="E2">
        <v>21</v>
      </c>
      <c r="F2">
        <v>6</v>
      </c>
      <c r="G2">
        <v>2025</v>
      </c>
      <c r="I2">
        <v>7</v>
      </c>
      <c r="J2">
        <v>2025</v>
      </c>
      <c r="K2">
        <v>1</v>
      </c>
      <c r="L2">
        <v>1</v>
      </c>
      <c r="M2">
        <v>1</v>
      </c>
      <c r="N2">
        <v>4.0000000000000002E-4</v>
      </c>
      <c r="O2">
        <v>2.3999999999999998E-3</v>
      </c>
      <c r="P2">
        <v>4</v>
      </c>
      <c r="Q2">
        <v>4</v>
      </c>
      <c r="R2">
        <f t="shared" ref="R2:R33" si="2">N2/P2</f>
        <v>1E-4</v>
      </c>
      <c r="S2">
        <f t="shared" ref="S2:S33" si="3">O2/Q2</f>
        <v>5.9999999999999995E-4</v>
      </c>
      <c r="T2" t="s">
        <v>23</v>
      </c>
      <c r="U2">
        <v>6.1111111109999996</v>
      </c>
      <c r="V2">
        <v>23.88888889</v>
      </c>
    </row>
    <row r="3" spans="1:22" x14ac:dyDescent="0.4">
      <c r="A3" t="s">
        <v>11</v>
      </c>
      <c r="B3" t="s">
        <v>15</v>
      </c>
      <c r="C3" t="str">
        <f t="shared" si="0"/>
        <v>Water Only</v>
      </c>
      <c r="D3" s="1" t="str">
        <f t="shared" si="1"/>
        <v>0.0</v>
      </c>
      <c r="E3">
        <v>21</v>
      </c>
      <c r="F3">
        <v>6</v>
      </c>
      <c r="G3">
        <v>2025</v>
      </c>
      <c r="I3">
        <v>7</v>
      </c>
      <c r="J3">
        <v>2025</v>
      </c>
      <c r="K3">
        <v>1</v>
      </c>
      <c r="L3">
        <v>1</v>
      </c>
      <c r="M3">
        <v>1</v>
      </c>
      <c r="N3">
        <v>2.9999999999999997E-4</v>
      </c>
      <c r="O3">
        <v>1.1000000000000001E-3</v>
      </c>
      <c r="P3">
        <v>2</v>
      </c>
      <c r="Q3">
        <v>2</v>
      </c>
      <c r="R3">
        <f t="shared" si="2"/>
        <v>1.4999999999999999E-4</v>
      </c>
      <c r="S3">
        <f t="shared" si="3"/>
        <v>5.5000000000000003E-4</v>
      </c>
      <c r="T3" t="s">
        <v>23</v>
      </c>
      <c r="U3">
        <v>6.1111111109999996</v>
      </c>
      <c r="V3">
        <v>23.88888889</v>
      </c>
    </row>
    <row r="4" spans="1:22" x14ac:dyDescent="0.4">
      <c r="A4" t="s">
        <v>11</v>
      </c>
      <c r="B4" t="s">
        <v>14</v>
      </c>
      <c r="C4" t="str">
        <f t="shared" si="0"/>
        <v>Low SA Level</v>
      </c>
      <c r="D4" s="1" t="str">
        <f t="shared" si="1"/>
        <v>0.5</v>
      </c>
      <c r="E4">
        <v>21</v>
      </c>
      <c r="F4">
        <v>6</v>
      </c>
      <c r="G4">
        <v>2025</v>
      </c>
      <c r="I4">
        <v>7</v>
      </c>
      <c r="J4">
        <v>2025</v>
      </c>
      <c r="K4">
        <v>1</v>
      </c>
      <c r="L4">
        <v>1</v>
      </c>
      <c r="M4">
        <v>1</v>
      </c>
      <c r="N4">
        <v>6.9999999999999999E-4</v>
      </c>
      <c r="O4">
        <v>1.6000000000000001E-3</v>
      </c>
      <c r="P4">
        <v>3</v>
      </c>
      <c r="Q4">
        <v>3</v>
      </c>
      <c r="R4">
        <f t="shared" si="2"/>
        <v>2.3333333333333333E-4</v>
      </c>
      <c r="S4">
        <f t="shared" si="3"/>
        <v>5.3333333333333336E-4</v>
      </c>
      <c r="T4" t="s">
        <v>23</v>
      </c>
      <c r="U4">
        <v>6.1111111109999996</v>
      </c>
      <c r="V4">
        <v>23.88888889</v>
      </c>
    </row>
    <row r="5" spans="1:22" x14ac:dyDescent="0.4">
      <c r="A5" t="s">
        <v>11</v>
      </c>
      <c r="B5" t="s">
        <v>13</v>
      </c>
      <c r="C5" t="str">
        <f t="shared" si="0"/>
        <v>High SA Level</v>
      </c>
      <c r="D5" s="1" t="str">
        <f t="shared" si="1"/>
        <v>1.0</v>
      </c>
      <c r="E5">
        <v>21</v>
      </c>
      <c r="F5">
        <v>6</v>
      </c>
      <c r="G5">
        <v>2025</v>
      </c>
      <c r="I5">
        <v>7</v>
      </c>
      <c r="J5">
        <v>2025</v>
      </c>
      <c r="K5">
        <v>1</v>
      </c>
      <c r="L5">
        <v>1</v>
      </c>
      <c r="M5">
        <v>1</v>
      </c>
      <c r="N5">
        <v>5.9999999999999995E-4</v>
      </c>
      <c r="O5">
        <v>1E-3</v>
      </c>
      <c r="P5">
        <v>4</v>
      </c>
      <c r="Q5">
        <v>4</v>
      </c>
      <c r="R5">
        <f t="shared" si="2"/>
        <v>1.4999999999999999E-4</v>
      </c>
      <c r="S5">
        <f t="shared" si="3"/>
        <v>2.5000000000000001E-4</v>
      </c>
      <c r="T5" t="s">
        <v>23</v>
      </c>
      <c r="U5">
        <v>6.1111111109999996</v>
      </c>
      <c r="V5">
        <v>23.88888889</v>
      </c>
    </row>
    <row r="6" spans="1:22" x14ac:dyDescent="0.4">
      <c r="A6" t="s">
        <v>11</v>
      </c>
      <c r="B6" t="s">
        <v>12</v>
      </c>
      <c r="C6" t="str">
        <f t="shared" si="0"/>
        <v>Control</v>
      </c>
      <c r="D6" s="1" t="str">
        <f t="shared" si="1"/>
        <v>0.0</v>
      </c>
      <c r="E6">
        <v>21</v>
      </c>
      <c r="F6">
        <v>6</v>
      </c>
      <c r="G6">
        <v>2025</v>
      </c>
      <c r="I6">
        <v>7</v>
      </c>
      <c r="J6">
        <v>2025</v>
      </c>
      <c r="K6">
        <v>4</v>
      </c>
      <c r="L6">
        <v>7</v>
      </c>
      <c r="M6">
        <v>1</v>
      </c>
      <c r="N6">
        <v>4.0000000000000002E-4</v>
      </c>
      <c r="O6">
        <v>8.0000000000000004E-4</v>
      </c>
      <c r="P6">
        <v>2</v>
      </c>
      <c r="Q6">
        <v>2</v>
      </c>
      <c r="R6">
        <f t="shared" si="2"/>
        <v>2.0000000000000001E-4</v>
      </c>
      <c r="S6">
        <f t="shared" si="3"/>
        <v>4.0000000000000002E-4</v>
      </c>
      <c r="T6" t="s">
        <v>23</v>
      </c>
      <c r="U6">
        <v>15</v>
      </c>
      <c r="V6">
        <v>23.88888889</v>
      </c>
    </row>
    <row r="7" spans="1:22" x14ac:dyDescent="0.4">
      <c r="A7" t="s">
        <v>11</v>
      </c>
      <c r="B7" t="s">
        <v>15</v>
      </c>
      <c r="C7" t="str">
        <f t="shared" si="0"/>
        <v>Water Only</v>
      </c>
      <c r="D7" s="1" t="str">
        <f t="shared" si="1"/>
        <v>0.0</v>
      </c>
      <c r="E7">
        <v>21</v>
      </c>
      <c r="F7">
        <v>6</v>
      </c>
      <c r="G7">
        <v>2025</v>
      </c>
      <c r="I7">
        <v>7</v>
      </c>
      <c r="J7">
        <v>2025</v>
      </c>
      <c r="K7">
        <v>4</v>
      </c>
      <c r="L7">
        <v>7</v>
      </c>
      <c r="M7">
        <v>1</v>
      </c>
      <c r="N7">
        <v>2.9999999999999997E-4</v>
      </c>
      <c r="O7">
        <v>8.0000000000000004E-4</v>
      </c>
      <c r="P7">
        <v>2</v>
      </c>
      <c r="Q7">
        <v>2</v>
      </c>
      <c r="R7">
        <f t="shared" si="2"/>
        <v>1.4999999999999999E-4</v>
      </c>
      <c r="S7">
        <f t="shared" si="3"/>
        <v>4.0000000000000002E-4</v>
      </c>
      <c r="T7" t="s">
        <v>23</v>
      </c>
      <c r="U7">
        <v>15</v>
      </c>
      <c r="V7">
        <v>23.88888889</v>
      </c>
    </row>
    <row r="8" spans="1:22" x14ac:dyDescent="0.4">
      <c r="A8" t="s">
        <v>11</v>
      </c>
      <c r="B8" t="s">
        <v>14</v>
      </c>
      <c r="C8" t="str">
        <f t="shared" si="0"/>
        <v>Low SA Level</v>
      </c>
      <c r="D8" s="1" t="str">
        <f t="shared" si="1"/>
        <v>0.5</v>
      </c>
      <c r="E8">
        <v>21</v>
      </c>
      <c r="F8">
        <v>6</v>
      </c>
      <c r="G8">
        <v>2025</v>
      </c>
      <c r="I8">
        <v>7</v>
      </c>
      <c r="J8">
        <v>2025</v>
      </c>
      <c r="K8">
        <v>4</v>
      </c>
      <c r="L8">
        <v>7</v>
      </c>
      <c r="M8">
        <v>1</v>
      </c>
      <c r="N8">
        <v>1E-3</v>
      </c>
      <c r="O8">
        <v>1.6000000000000001E-3</v>
      </c>
      <c r="P8">
        <v>4</v>
      </c>
      <c r="Q8">
        <v>4</v>
      </c>
      <c r="R8">
        <f t="shared" si="2"/>
        <v>2.5000000000000001E-4</v>
      </c>
      <c r="S8">
        <f t="shared" si="3"/>
        <v>4.0000000000000002E-4</v>
      </c>
      <c r="T8" t="s">
        <v>23</v>
      </c>
      <c r="U8">
        <v>15</v>
      </c>
      <c r="V8">
        <v>23.88888889</v>
      </c>
    </row>
    <row r="9" spans="1:22" x14ac:dyDescent="0.4">
      <c r="A9" t="s">
        <v>11</v>
      </c>
      <c r="B9" t="s">
        <v>13</v>
      </c>
      <c r="C9" t="str">
        <f t="shared" si="0"/>
        <v>High SA Level</v>
      </c>
      <c r="D9" s="1" t="str">
        <f t="shared" si="1"/>
        <v>1.0</v>
      </c>
      <c r="E9">
        <v>21</v>
      </c>
      <c r="F9">
        <v>6</v>
      </c>
      <c r="G9">
        <v>2025</v>
      </c>
      <c r="I9">
        <v>7</v>
      </c>
      <c r="J9">
        <v>2025</v>
      </c>
      <c r="K9">
        <v>4</v>
      </c>
      <c r="L9">
        <v>7</v>
      </c>
      <c r="M9">
        <v>1</v>
      </c>
      <c r="N9">
        <v>1.2999999999999999E-3</v>
      </c>
      <c r="O9">
        <v>2.2000000000000001E-3</v>
      </c>
      <c r="P9">
        <v>4</v>
      </c>
      <c r="Q9">
        <v>4</v>
      </c>
      <c r="R9">
        <f t="shared" si="2"/>
        <v>3.2499999999999999E-4</v>
      </c>
      <c r="S9">
        <f t="shared" si="3"/>
        <v>5.5000000000000003E-4</v>
      </c>
      <c r="T9" t="s">
        <v>23</v>
      </c>
      <c r="U9">
        <v>15</v>
      </c>
      <c r="V9">
        <v>23.88888889</v>
      </c>
    </row>
    <row r="10" spans="1:22" x14ac:dyDescent="0.4">
      <c r="A10" t="s">
        <v>11</v>
      </c>
      <c r="B10" t="s">
        <v>12</v>
      </c>
      <c r="C10" t="str">
        <f t="shared" si="0"/>
        <v>Control</v>
      </c>
      <c r="D10" s="1" t="str">
        <f t="shared" si="1"/>
        <v>0.0</v>
      </c>
      <c r="E10">
        <v>21</v>
      </c>
      <c r="F10">
        <v>6</v>
      </c>
      <c r="G10">
        <v>2025</v>
      </c>
      <c r="I10">
        <v>7</v>
      </c>
      <c r="J10">
        <v>2025</v>
      </c>
      <c r="K10">
        <v>7</v>
      </c>
      <c r="L10">
        <v>13</v>
      </c>
      <c r="M10">
        <v>1</v>
      </c>
      <c r="N10">
        <v>2.9999999999999997E-4</v>
      </c>
      <c r="O10">
        <v>2.9999999999999997E-4</v>
      </c>
      <c r="P10">
        <v>2</v>
      </c>
      <c r="Q10">
        <v>2</v>
      </c>
      <c r="R10">
        <f t="shared" si="2"/>
        <v>1.4999999999999999E-4</v>
      </c>
      <c r="S10">
        <f t="shared" si="3"/>
        <v>1.4999999999999999E-4</v>
      </c>
      <c r="T10" t="s">
        <v>23</v>
      </c>
      <c r="U10">
        <v>23.88888889</v>
      </c>
      <c r="V10">
        <v>23.88888889</v>
      </c>
    </row>
    <row r="11" spans="1:22" x14ac:dyDescent="0.4">
      <c r="A11" t="s">
        <v>11</v>
      </c>
      <c r="B11" t="s">
        <v>15</v>
      </c>
      <c r="C11" t="str">
        <f t="shared" si="0"/>
        <v>Water Only</v>
      </c>
      <c r="D11" s="1" t="str">
        <f t="shared" si="1"/>
        <v>0.0</v>
      </c>
      <c r="E11">
        <v>21</v>
      </c>
      <c r="F11">
        <v>6</v>
      </c>
      <c r="G11">
        <v>2025</v>
      </c>
      <c r="I11">
        <v>7</v>
      </c>
      <c r="J11">
        <v>2025</v>
      </c>
      <c r="K11">
        <v>7</v>
      </c>
      <c r="L11">
        <v>13</v>
      </c>
      <c r="M11">
        <v>1</v>
      </c>
      <c r="N11">
        <v>4.0000000000000002E-4</v>
      </c>
      <c r="O11">
        <v>8.9999999999999998E-4</v>
      </c>
      <c r="P11">
        <v>4</v>
      </c>
      <c r="Q11">
        <v>4</v>
      </c>
      <c r="R11">
        <f t="shared" si="2"/>
        <v>1E-4</v>
      </c>
      <c r="S11">
        <f t="shared" si="3"/>
        <v>2.2499999999999999E-4</v>
      </c>
      <c r="T11" t="s">
        <v>23</v>
      </c>
      <c r="U11">
        <v>23.88888889</v>
      </c>
      <c r="V11">
        <v>23.88888889</v>
      </c>
    </row>
    <row r="12" spans="1:22" x14ac:dyDescent="0.4">
      <c r="A12" t="s">
        <v>11</v>
      </c>
      <c r="B12" t="s">
        <v>14</v>
      </c>
      <c r="C12" t="str">
        <f t="shared" si="0"/>
        <v>Low SA Level</v>
      </c>
      <c r="D12" s="1" t="str">
        <f t="shared" si="1"/>
        <v>0.5</v>
      </c>
      <c r="E12">
        <v>21</v>
      </c>
      <c r="F12">
        <v>6</v>
      </c>
      <c r="G12">
        <v>2025</v>
      </c>
      <c r="I12">
        <v>7</v>
      </c>
      <c r="J12">
        <v>2025</v>
      </c>
      <c r="K12">
        <v>7</v>
      </c>
      <c r="L12">
        <v>13</v>
      </c>
      <c r="M12">
        <v>1</v>
      </c>
      <c r="N12">
        <v>1.1999999999999999E-3</v>
      </c>
      <c r="O12">
        <v>1E-3</v>
      </c>
      <c r="P12">
        <v>2</v>
      </c>
      <c r="Q12">
        <v>2</v>
      </c>
      <c r="R12">
        <f t="shared" si="2"/>
        <v>5.9999999999999995E-4</v>
      </c>
      <c r="S12">
        <f t="shared" si="3"/>
        <v>5.0000000000000001E-4</v>
      </c>
      <c r="T12" t="s">
        <v>23</v>
      </c>
      <c r="U12">
        <v>23.88888889</v>
      </c>
      <c r="V12">
        <v>23.88888889</v>
      </c>
    </row>
    <row r="13" spans="1:22" x14ac:dyDescent="0.4">
      <c r="A13" t="s">
        <v>11</v>
      </c>
      <c r="B13" t="s">
        <v>13</v>
      </c>
      <c r="C13" t="str">
        <f t="shared" si="0"/>
        <v>High SA Level</v>
      </c>
      <c r="D13" s="1" t="str">
        <f t="shared" si="1"/>
        <v>1.0</v>
      </c>
      <c r="E13">
        <v>21</v>
      </c>
      <c r="F13">
        <v>6</v>
      </c>
      <c r="G13">
        <v>2025</v>
      </c>
      <c r="I13">
        <v>7</v>
      </c>
      <c r="J13">
        <v>2025</v>
      </c>
      <c r="K13">
        <v>7</v>
      </c>
      <c r="L13">
        <v>13</v>
      </c>
      <c r="M13">
        <v>1</v>
      </c>
      <c r="N13">
        <v>4.0000000000000002E-4</v>
      </c>
      <c r="O13">
        <v>8.9999999999999998E-4</v>
      </c>
      <c r="P13">
        <v>2</v>
      </c>
      <c r="Q13">
        <v>2</v>
      </c>
      <c r="R13">
        <f t="shared" si="2"/>
        <v>2.0000000000000001E-4</v>
      </c>
      <c r="S13">
        <f t="shared" si="3"/>
        <v>4.4999999999999999E-4</v>
      </c>
      <c r="T13" t="s">
        <v>23</v>
      </c>
      <c r="U13">
        <v>23.88888889</v>
      </c>
      <c r="V13">
        <v>23.88888889</v>
      </c>
    </row>
    <row r="14" spans="1:22" x14ac:dyDescent="0.4">
      <c r="A14" t="s">
        <v>11</v>
      </c>
      <c r="B14" t="s">
        <v>12</v>
      </c>
      <c r="C14" t="str">
        <f t="shared" si="0"/>
        <v>Control</v>
      </c>
      <c r="D14" s="1" t="str">
        <f t="shared" si="1"/>
        <v>0.0</v>
      </c>
      <c r="E14">
        <v>21</v>
      </c>
      <c r="F14">
        <v>6</v>
      </c>
      <c r="G14">
        <v>2025</v>
      </c>
      <c r="I14">
        <v>7</v>
      </c>
      <c r="J14">
        <v>2025</v>
      </c>
      <c r="K14">
        <v>9</v>
      </c>
      <c r="L14">
        <v>3</v>
      </c>
      <c r="M14">
        <v>3</v>
      </c>
      <c r="N14">
        <v>6.9999999999999999E-4</v>
      </c>
      <c r="O14">
        <v>1.2999999999999999E-3</v>
      </c>
      <c r="P14">
        <v>4</v>
      </c>
      <c r="Q14">
        <v>4</v>
      </c>
      <c r="R14">
        <f t="shared" si="2"/>
        <v>1.75E-4</v>
      </c>
      <c r="S14">
        <f t="shared" si="3"/>
        <v>3.2499999999999999E-4</v>
      </c>
      <c r="T14" t="s">
        <v>23</v>
      </c>
      <c r="U14">
        <v>9.0740740740000003</v>
      </c>
      <c r="V14">
        <v>20.925925929999998</v>
      </c>
    </row>
    <row r="15" spans="1:22" x14ac:dyDescent="0.4">
      <c r="A15" t="s">
        <v>11</v>
      </c>
      <c r="B15" t="s">
        <v>15</v>
      </c>
      <c r="C15" t="str">
        <f t="shared" si="0"/>
        <v>Water Only</v>
      </c>
      <c r="D15" s="1" t="str">
        <f t="shared" si="1"/>
        <v>0.0</v>
      </c>
      <c r="E15">
        <v>21</v>
      </c>
      <c r="F15">
        <v>6</v>
      </c>
      <c r="G15">
        <v>2025</v>
      </c>
      <c r="I15">
        <v>7</v>
      </c>
      <c r="J15">
        <v>2025</v>
      </c>
      <c r="K15">
        <v>9</v>
      </c>
      <c r="L15">
        <v>3</v>
      </c>
      <c r="M15">
        <v>3</v>
      </c>
      <c r="N15">
        <v>1E-3</v>
      </c>
      <c r="O15">
        <v>1.6999999999999999E-3</v>
      </c>
      <c r="P15">
        <v>4</v>
      </c>
      <c r="Q15">
        <v>4</v>
      </c>
      <c r="R15">
        <f t="shared" si="2"/>
        <v>2.5000000000000001E-4</v>
      </c>
      <c r="S15">
        <f t="shared" si="3"/>
        <v>4.2499999999999998E-4</v>
      </c>
      <c r="T15" t="s">
        <v>23</v>
      </c>
      <c r="U15">
        <v>9.0740740740000003</v>
      </c>
      <c r="V15">
        <v>20.925925929999998</v>
      </c>
    </row>
    <row r="16" spans="1:22" x14ac:dyDescent="0.4">
      <c r="A16" t="s">
        <v>11</v>
      </c>
      <c r="B16" t="s">
        <v>14</v>
      </c>
      <c r="C16" t="str">
        <f t="shared" si="0"/>
        <v>Low SA Level</v>
      </c>
      <c r="D16" s="1" t="str">
        <f t="shared" si="1"/>
        <v>0.5</v>
      </c>
      <c r="E16">
        <v>21</v>
      </c>
      <c r="F16">
        <v>6</v>
      </c>
      <c r="G16">
        <v>2025</v>
      </c>
      <c r="I16">
        <v>7</v>
      </c>
      <c r="J16">
        <v>2025</v>
      </c>
      <c r="K16">
        <v>9</v>
      </c>
      <c r="L16">
        <v>3</v>
      </c>
      <c r="M16">
        <v>3</v>
      </c>
      <c r="N16">
        <v>8.9999999999999998E-4</v>
      </c>
      <c r="O16">
        <v>1.4E-3</v>
      </c>
      <c r="P16">
        <v>3</v>
      </c>
      <c r="Q16">
        <v>3</v>
      </c>
      <c r="R16">
        <f t="shared" si="2"/>
        <v>2.9999999999999997E-4</v>
      </c>
      <c r="S16">
        <f t="shared" si="3"/>
        <v>4.6666666666666666E-4</v>
      </c>
      <c r="T16" t="s">
        <v>23</v>
      </c>
      <c r="U16">
        <v>9.0740740740000003</v>
      </c>
      <c r="V16">
        <v>20.925925929999998</v>
      </c>
    </row>
    <row r="17" spans="1:22" x14ac:dyDescent="0.4">
      <c r="A17" t="s">
        <v>11</v>
      </c>
      <c r="B17" t="s">
        <v>13</v>
      </c>
      <c r="C17" t="str">
        <f t="shared" si="0"/>
        <v>High SA Level</v>
      </c>
      <c r="D17" s="1" t="str">
        <f t="shared" si="1"/>
        <v>1.0</v>
      </c>
      <c r="E17">
        <v>21</v>
      </c>
      <c r="F17">
        <v>6</v>
      </c>
      <c r="G17">
        <v>2025</v>
      </c>
      <c r="I17">
        <v>7</v>
      </c>
      <c r="J17">
        <v>2025</v>
      </c>
      <c r="K17">
        <v>9</v>
      </c>
      <c r="L17">
        <v>3</v>
      </c>
      <c r="M17">
        <v>3</v>
      </c>
      <c r="N17">
        <v>2.9999999999999997E-4</v>
      </c>
      <c r="O17">
        <v>6.9999999999999999E-4</v>
      </c>
      <c r="P17">
        <v>3</v>
      </c>
      <c r="Q17">
        <v>3</v>
      </c>
      <c r="R17">
        <f t="shared" si="2"/>
        <v>9.9999999999999991E-5</v>
      </c>
      <c r="S17">
        <f t="shared" si="3"/>
        <v>2.3333333333333333E-4</v>
      </c>
      <c r="T17" t="s">
        <v>23</v>
      </c>
      <c r="U17">
        <v>9.0740740740000003</v>
      </c>
      <c r="V17">
        <v>20.925925929999998</v>
      </c>
    </row>
    <row r="18" spans="1:22" x14ac:dyDescent="0.4">
      <c r="A18" t="s">
        <v>11</v>
      </c>
      <c r="B18" t="s">
        <v>12</v>
      </c>
      <c r="C18" t="str">
        <f t="shared" si="0"/>
        <v>Control</v>
      </c>
      <c r="D18" s="1" t="str">
        <f t="shared" si="1"/>
        <v>0.0</v>
      </c>
      <c r="E18">
        <v>21</v>
      </c>
      <c r="F18">
        <v>6</v>
      </c>
      <c r="G18">
        <v>2025</v>
      </c>
      <c r="I18">
        <v>7</v>
      </c>
      <c r="J18">
        <v>2025</v>
      </c>
      <c r="K18">
        <v>13</v>
      </c>
      <c r="L18">
        <v>11</v>
      </c>
      <c r="M18">
        <v>3</v>
      </c>
      <c r="N18">
        <v>5.9999999999999995E-4</v>
      </c>
      <c r="O18">
        <v>1.6000000000000001E-3</v>
      </c>
      <c r="P18">
        <v>4</v>
      </c>
      <c r="Q18">
        <v>4</v>
      </c>
      <c r="R18">
        <f t="shared" si="2"/>
        <v>1.4999999999999999E-4</v>
      </c>
      <c r="S18">
        <f t="shared" si="3"/>
        <v>4.0000000000000002E-4</v>
      </c>
      <c r="T18" t="s">
        <v>23</v>
      </c>
      <c r="U18">
        <v>20.925925929999998</v>
      </c>
      <c r="V18">
        <v>20.925925929999998</v>
      </c>
    </row>
    <row r="19" spans="1:22" x14ac:dyDescent="0.4">
      <c r="A19" t="s">
        <v>11</v>
      </c>
      <c r="B19" t="s">
        <v>15</v>
      </c>
      <c r="C19" t="str">
        <f t="shared" si="0"/>
        <v>Water Only</v>
      </c>
      <c r="D19" s="1" t="str">
        <f t="shared" si="1"/>
        <v>0.0</v>
      </c>
      <c r="E19">
        <v>21</v>
      </c>
      <c r="F19">
        <v>6</v>
      </c>
      <c r="G19">
        <v>2025</v>
      </c>
      <c r="I19">
        <v>7</v>
      </c>
      <c r="J19">
        <v>2025</v>
      </c>
      <c r="K19">
        <v>13</v>
      </c>
      <c r="L19">
        <v>11</v>
      </c>
      <c r="M19">
        <v>3</v>
      </c>
      <c r="N19">
        <v>8.0000000000000004E-4</v>
      </c>
      <c r="O19">
        <v>1.4E-3</v>
      </c>
      <c r="P19">
        <v>4</v>
      </c>
      <c r="Q19">
        <v>4</v>
      </c>
      <c r="R19">
        <f t="shared" si="2"/>
        <v>2.0000000000000001E-4</v>
      </c>
      <c r="S19">
        <f t="shared" si="3"/>
        <v>3.5E-4</v>
      </c>
      <c r="T19" t="s">
        <v>23</v>
      </c>
      <c r="U19">
        <v>20.925925929999998</v>
      </c>
      <c r="V19">
        <v>20.925925929999998</v>
      </c>
    </row>
    <row r="20" spans="1:22" x14ac:dyDescent="0.4">
      <c r="A20" t="s">
        <v>11</v>
      </c>
      <c r="B20" t="s">
        <v>14</v>
      </c>
      <c r="C20" t="str">
        <f t="shared" si="0"/>
        <v>Low SA Level</v>
      </c>
      <c r="D20" s="1" t="str">
        <f t="shared" si="1"/>
        <v>0.5</v>
      </c>
      <c r="E20">
        <v>21</v>
      </c>
      <c r="F20">
        <v>6</v>
      </c>
      <c r="G20">
        <v>2025</v>
      </c>
      <c r="I20">
        <v>7</v>
      </c>
      <c r="J20">
        <v>2025</v>
      </c>
      <c r="K20">
        <v>13</v>
      </c>
      <c r="L20">
        <v>11</v>
      </c>
      <c r="M20">
        <v>3</v>
      </c>
      <c r="N20">
        <v>1.1000000000000001E-3</v>
      </c>
      <c r="O20">
        <v>1.5E-3</v>
      </c>
      <c r="P20">
        <v>4</v>
      </c>
      <c r="Q20">
        <v>4</v>
      </c>
      <c r="R20">
        <f t="shared" si="2"/>
        <v>2.7500000000000002E-4</v>
      </c>
      <c r="S20">
        <f t="shared" si="3"/>
        <v>3.7500000000000001E-4</v>
      </c>
      <c r="T20" t="s">
        <v>23</v>
      </c>
      <c r="U20">
        <v>20.925925929999998</v>
      </c>
      <c r="V20">
        <v>20.925925929999998</v>
      </c>
    </row>
    <row r="21" spans="1:22" x14ac:dyDescent="0.4">
      <c r="A21" t="s">
        <v>11</v>
      </c>
      <c r="B21" t="s">
        <v>13</v>
      </c>
      <c r="C21" t="str">
        <f t="shared" si="0"/>
        <v>High SA Level</v>
      </c>
      <c r="D21" s="1" t="str">
        <f t="shared" si="1"/>
        <v>1.0</v>
      </c>
      <c r="E21">
        <v>21</v>
      </c>
      <c r="F21">
        <v>6</v>
      </c>
      <c r="G21">
        <v>2025</v>
      </c>
      <c r="I21">
        <v>7</v>
      </c>
      <c r="J21">
        <v>2025</v>
      </c>
      <c r="K21">
        <v>13</v>
      </c>
      <c r="L21">
        <v>11</v>
      </c>
      <c r="M21">
        <v>3</v>
      </c>
      <c r="N21">
        <v>8.9999999999999998E-4</v>
      </c>
      <c r="O21">
        <v>1.5E-3</v>
      </c>
      <c r="P21">
        <v>4</v>
      </c>
      <c r="Q21">
        <v>4</v>
      </c>
      <c r="R21">
        <f t="shared" si="2"/>
        <v>2.2499999999999999E-4</v>
      </c>
      <c r="S21">
        <f t="shared" si="3"/>
        <v>3.7500000000000001E-4</v>
      </c>
      <c r="T21" t="s">
        <v>23</v>
      </c>
      <c r="U21">
        <v>20.925925929999998</v>
      </c>
      <c r="V21">
        <v>20.925925929999998</v>
      </c>
    </row>
    <row r="22" spans="1:22" x14ac:dyDescent="0.4">
      <c r="A22" t="s">
        <v>11</v>
      </c>
      <c r="B22" t="s">
        <v>12</v>
      </c>
      <c r="C22" t="str">
        <f t="shared" si="0"/>
        <v>Control</v>
      </c>
      <c r="D22" s="1" t="str">
        <f t="shared" si="1"/>
        <v>0.0</v>
      </c>
      <c r="E22">
        <v>21</v>
      </c>
      <c r="F22">
        <v>6</v>
      </c>
      <c r="G22">
        <v>2025</v>
      </c>
      <c r="I22">
        <v>7</v>
      </c>
      <c r="J22">
        <v>2025</v>
      </c>
      <c r="K22">
        <v>17</v>
      </c>
      <c r="L22">
        <v>5</v>
      </c>
      <c r="M22">
        <v>5</v>
      </c>
      <c r="N22">
        <v>2.9999999999999997E-4</v>
      </c>
      <c r="O22">
        <v>8.9999999999999998E-4</v>
      </c>
      <c r="P22">
        <v>3</v>
      </c>
      <c r="Q22">
        <v>3</v>
      </c>
      <c r="R22">
        <f t="shared" si="2"/>
        <v>9.9999999999999991E-5</v>
      </c>
      <c r="S22">
        <f t="shared" si="3"/>
        <v>2.9999999999999997E-4</v>
      </c>
      <c r="T22" t="s">
        <v>23</v>
      </c>
      <c r="U22">
        <v>12.03703704</v>
      </c>
      <c r="V22">
        <v>17.962962959999999</v>
      </c>
    </row>
    <row r="23" spans="1:22" x14ac:dyDescent="0.4">
      <c r="A23" t="s">
        <v>11</v>
      </c>
      <c r="B23" t="s">
        <v>15</v>
      </c>
      <c r="C23" t="str">
        <f t="shared" si="0"/>
        <v>Water Only</v>
      </c>
      <c r="D23" s="1" t="str">
        <f t="shared" si="1"/>
        <v>0.0</v>
      </c>
      <c r="E23">
        <v>21</v>
      </c>
      <c r="F23">
        <v>6</v>
      </c>
      <c r="G23">
        <v>2025</v>
      </c>
      <c r="I23">
        <v>7</v>
      </c>
      <c r="J23">
        <v>2025</v>
      </c>
      <c r="K23">
        <v>17</v>
      </c>
      <c r="L23">
        <v>5</v>
      </c>
      <c r="M23">
        <v>5</v>
      </c>
      <c r="N23">
        <v>5.9999999999999995E-4</v>
      </c>
      <c r="O23">
        <v>1.4E-3</v>
      </c>
      <c r="P23">
        <v>3</v>
      </c>
      <c r="Q23">
        <v>4</v>
      </c>
      <c r="R23">
        <f t="shared" si="2"/>
        <v>1.9999999999999998E-4</v>
      </c>
      <c r="S23">
        <f t="shared" si="3"/>
        <v>3.5E-4</v>
      </c>
      <c r="T23" t="s">
        <v>23</v>
      </c>
      <c r="U23">
        <v>12.03703704</v>
      </c>
      <c r="V23">
        <v>17.962962959999999</v>
      </c>
    </row>
    <row r="24" spans="1:22" x14ac:dyDescent="0.4">
      <c r="A24" t="s">
        <v>11</v>
      </c>
      <c r="B24" t="s">
        <v>14</v>
      </c>
      <c r="C24" t="str">
        <f t="shared" si="0"/>
        <v>Low SA Level</v>
      </c>
      <c r="D24" s="1" t="str">
        <f t="shared" si="1"/>
        <v>0.5</v>
      </c>
      <c r="E24">
        <v>21</v>
      </c>
      <c r="F24">
        <v>6</v>
      </c>
      <c r="G24">
        <v>2025</v>
      </c>
      <c r="I24">
        <v>7</v>
      </c>
      <c r="J24">
        <v>2025</v>
      </c>
      <c r="K24">
        <v>17</v>
      </c>
      <c r="L24">
        <v>5</v>
      </c>
      <c r="M24">
        <v>5</v>
      </c>
      <c r="N24">
        <v>1.1000000000000001E-3</v>
      </c>
      <c r="O24">
        <v>1.4E-3</v>
      </c>
      <c r="P24">
        <v>4</v>
      </c>
      <c r="Q24">
        <v>4</v>
      </c>
      <c r="R24">
        <f t="shared" si="2"/>
        <v>2.7500000000000002E-4</v>
      </c>
      <c r="S24">
        <f t="shared" si="3"/>
        <v>3.5E-4</v>
      </c>
      <c r="T24" t="s">
        <v>23</v>
      </c>
      <c r="U24">
        <v>12.03703704</v>
      </c>
      <c r="V24">
        <v>17.962962959999999</v>
      </c>
    </row>
    <row r="25" spans="1:22" x14ac:dyDescent="0.4">
      <c r="A25" t="s">
        <v>11</v>
      </c>
      <c r="B25" t="s">
        <v>13</v>
      </c>
      <c r="C25" t="str">
        <f t="shared" si="0"/>
        <v>High SA Level</v>
      </c>
      <c r="D25" s="1" t="str">
        <f t="shared" si="1"/>
        <v>1.0</v>
      </c>
      <c r="E25">
        <v>21</v>
      </c>
      <c r="F25">
        <v>6</v>
      </c>
      <c r="G25">
        <v>2025</v>
      </c>
      <c r="I25">
        <v>7</v>
      </c>
      <c r="J25">
        <v>2025</v>
      </c>
      <c r="K25">
        <v>17</v>
      </c>
      <c r="L25">
        <v>5</v>
      </c>
      <c r="M25">
        <v>5</v>
      </c>
      <c r="N25">
        <v>8.9999999999999998E-4</v>
      </c>
      <c r="O25">
        <v>8.0000000000000004E-4</v>
      </c>
      <c r="P25">
        <v>4</v>
      </c>
      <c r="Q25">
        <v>4</v>
      </c>
      <c r="R25">
        <f t="shared" si="2"/>
        <v>2.2499999999999999E-4</v>
      </c>
      <c r="S25">
        <f t="shared" si="3"/>
        <v>2.0000000000000001E-4</v>
      </c>
      <c r="T25" t="s">
        <v>23</v>
      </c>
      <c r="U25">
        <v>12.03703704</v>
      </c>
      <c r="V25">
        <v>17.962962959999999</v>
      </c>
    </row>
    <row r="26" spans="1:22" x14ac:dyDescent="0.4">
      <c r="A26" t="s">
        <v>11</v>
      </c>
      <c r="B26" t="s">
        <v>12</v>
      </c>
      <c r="C26" t="str">
        <f t="shared" si="0"/>
        <v>Control</v>
      </c>
      <c r="D26" s="1" t="str">
        <f t="shared" si="1"/>
        <v>0.0</v>
      </c>
      <c r="E26">
        <v>21</v>
      </c>
      <c r="F26">
        <v>6</v>
      </c>
      <c r="G26">
        <v>2025</v>
      </c>
      <c r="I26">
        <v>7</v>
      </c>
      <c r="J26">
        <v>2025</v>
      </c>
      <c r="K26">
        <v>19</v>
      </c>
      <c r="L26">
        <v>9</v>
      </c>
      <c r="M26">
        <v>5</v>
      </c>
      <c r="N26">
        <v>4.0000000000000002E-4</v>
      </c>
      <c r="O26">
        <v>1E-3</v>
      </c>
      <c r="P26">
        <v>4</v>
      </c>
      <c r="Q26">
        <v>4</v>
      </c>
      <c r="R26">
        <f t="shared" si="2"/>
        <v>1E-4</v>
      </c>
      <c r="S26">
        <f t="shared" si="3"/>
        <v>2.5000000000000001E-4</v>
      </c>
      <c r="T26" t="s">
        <v>23</v>
      </c>
      <c r="U26">
        <v>17.962962959999999</v>
      </c>
      <c r="V26">
        <v>17.962962959999999</v>
      </c>
    </row>
    <row r="27" spans="1:22" x14ac:dyDescent="0.4">
      <c r="A27" t="s">
        <v>11</v>
      </c>
      <c r="B27" t="s">
        <v>15</v>
      </c>
      <c r="C27" t="str">
        <f t="shared" si="0"/>
        <v>Water Only</v>
      </c>
      <c r="D27" s="1" t="str">
        <f t="shared" si="1"/>
        <v>0.0</v>
      </c>
      <c r="E27">
        <v>21</v>
      </c>
      <c r="F27">
        <v>6</v>
      </c>
      <c r="G27">
        <v>2025</v>
      </c>
      <c r="I27">
        <v>7</v>
      </c>
      <c r="J27">
        <v>2025</v>
      </c>
      <c r="K27">
        <v>19</v>
      </c>
      <c r="L27">
        <v>9</v>
      </c>
      <c r="M27">
        <v>5</v>
      </c>
      <c r="N27">
        <v>5.9999999999999995E-4</v>
      </c>
      <c r="O27">
        <v>5.9999999999999995E-4</v>
      </c>
      <c r="P27">
        <v>3</v>
      </c>
      <c r="Q27">
        <v>3</v>
      </c>
      <c r="R27">
        <f t="shared" si="2"/>
        <v>1.9999999999999998E-4</v>
      </c>
      <c r="S27">
        <f t="shared" si="3"/>
        <v>1.9999999999999998E-4</v>
      </c>
      <c r="T27" t="s">
        <v>23</v>
      </c>
      <c r="U27">
        <v>17.962962959999999</v>
      </c>
      <c r="V27">
        <v>17.962962959999999</v>
      </c>
    </row>
    <row r="28" spans="1:22" x14ac:dyDescent="0.4">
      <c r="A28" t="s">
        <v>11</v>
      </c>
      <c r="B28" t="s">
        <v>14</v>
      </c>
      <c r="C28" t="str">
        <f t="shared" si="0"/>
        <v>Low SA Level</v>
      </c>
      <c r="D28" s="1" t="str">
        <f t="shared" si="1"/>
        <v>0.5</v>
      </c>
      <c r="E28">
        <v>21</v>
      </c>
      <c r="F28">
        <v>6</v>
      </c>
      <c r="G28">
        <v>2025</v>
      </c>
      <c r="I28">
        <v>7</v>
      </c>
      <c r="J28">
        <v>2025</v>
      </c>
      <c r="K28">
        <v>19</v>
      </c>
      <c r="L28">
        <v>9</v>
      </c>
      <c r="M28">
        <v>5</v>
      </c>
      <c r="N28">
        <v>1E-4</v>
      </c>
      <c r="O28">
        <v>8.9999999999999998E-4</v>
      </c>
      <c r="P28">
        <v>2</v>
      </c>
      <c r="Q28">
        <v>2</v>
      </c>
      <c r="R28">
        <f t="shared" si="2"/>
        <v>5.0000000000000002E-5</v>
      </c>
      <c r="S28">
        <f t="shared" si="3"/>
        <v>4.4999999999999999E-4</v>
      </c>
      <c r="T28" t="s">
        <v>23</v>
      </c>
      <c r="U28">
        <v>17.962962959999999</v>
      </c>
      <c r="V28">
        <v>17.962962959999999</v>
      </c>
    </row>
    <row r="29" spans="1:22" x14ac:dyDescent="0.4">
      <c r="A29" t="s">
        <v>11</v>
      </c>
      <c r="B29" t="s">
        <v>13</v>
      </c>
      <c r="C29" t="str">
        <f t="shared" si="0"/>
        <v>High SA Level</v>
      </c>
      <c r="D29" s="1" t="str">
        <f t="shared" si="1"/>
        <v>1.0</v>
      </c>
      <c r="E29">
        <v>21</v>
      </c>
      <c r="F29">
        <v>6</v>
      </c>
      <c r="G29">
        <v>2025</v>
      </c>
      <c r="I29">
        <v>7</v>
      </c>
      <c r="J29">
        <v>2025</v>
      </c>
      <c r="K29">
        <v>19</v>
      </c>
      <c r="L29">
        <v>9</v>
      </c>
      <c r="M29">
        <v>5</v>
      </c>
      <c r="N29">
        <v>1.4E-3</v>
      </c>
      <c r="O29">
        <v>1.4E-3</v>
      </c>
      <c r="P29">
        <v>4</v>
      </c>
      <c r="Q29">
        <v>4</v>
      </c>
      <c r="R29">
        <f t="shared" si="2"/>
        <v>3.5E-4</v>
      </c>
      <c r="S29">
        <f t="shared" si="3"/>
        <v>3.5E-4</v>
      </c>
      <c r="T29" t="s">
        <v>23</v>
      </c>
      <c r="U29">
        <v>17.962962959999999</v>
      </c>
      <c r="V29">
        <v>17.962962959999999</v>
      </c>
    </row>
    <row r="30" spans="1:22" x14ac:dyDescent="0.4">
      <c r="A30" t="s">
        <v>11</v>
      </c>
      <c r="B30" t="s">
        <v>12</v>
      </c>
      <c r="C30" t="str">
        <f t="shared" si="0"/>
        <v>Control</v>
      </c>
      <c r="D30" s="1" t="str">
        <f t="shared" si="1"/>
        <v>0.0</v>
      </c>
      <c r="E30">
        <v>21</v>
      </c>
      <c r="F30">
        <v>6</v>
      </c>
      <c r="G30">
        <v>2025</v>
      </c>
      <c r="I30">
        <v>7</v>
      </c>
      <c r="J30">
        <v>2025</v>
      </c>
      <c r="K30">
        <v>22</v>
      </c>
      <c r="L30">
        <v>1</v>
      </c>
      <c r="M30">
        <v>7</v>
      </c>
      <c r="N30">
        <v>8.0000000000000004E-4</v>
      </c>
      <c r="O30">
        <v>1.2999999999999999E-3</v>
      </c>
      <c r="P30">
        <v>3</v>
      </c>
      <c r="Q30">
        <v>3</v>
      </c>
      <c r="R30">
        <f t="shared" si="2"/>
        <v>2.6666666666666668E-4</v>
      </c>
      <c r="S30">
        <f t="shared" si="3"/>
        <v>4.3333333333333331E-4</v>
      </c>
      <c r="T30" t="s">
        <v>23</v>
      </c>
      <c r="U30">
        <v>6.1111111109999996</v>
      </c>
      <c r="V30">
        <v>15</v>
      </c>
    </row>
    <row r="31" spans="1:22" x14ac:dyDescent="0.4">
      <c r="A31" t="s">
        <v>11</v>
      </c>
      <c r="B31" t="s">
        <v>15</v>
      </c>
      <c r="C31" t="str">
        <f t="shared" si="0"/>
        <v>Water Only</v>
      </c>
      <c r="D31" s="1" t="str">
        <f t="shared" si="1"/>
        <v>0.0</v>
      </c>
      <c r="E31">
        <v>21</v>
      </c>
      <c r="F31">
        <v>6</v>
      </c>
      <c r="G31">
        <v>2025</v>
      </c>
      <c r="I31">
        <v>7</v>
      </c>
      <c r="J31">
        <v>2025</v>
      </c>
      <c r="K31">
        <v>22</v>
      </c>
      <c r="L31">
        <v>1</v>
      </c>
      <c r="M31">
        <v>7</v>
      </c>
      <c r="N31">
        <v>2.0000000000000001E-4</v>
      </c>
      <c r="O31">
        <v>2.0000000000000001E-4</v>
      </c>
      <c r="P31">
        <v>1</v>
      </c>
      <c r="Q31">
        <v>1</v>
      </c>
      <c r="R31">
        <f t="shared" si="2"/>
        <v>2.0000000000000001E-4</v>
      </c>
      <c r="S31">
        <f t="shared" si="3"/>
        <v>2.0000000000000001E-4</v>
      </c>
      <c r="T31" t="s">
        <v>23</v>
      </c>
      <c r="U31">
        <v>6.1111111109999996</v>
      </c>
      <c r="V31">
        <v>15</v>
      </c>
    </row>
    <row r="32" spans="1:22" x14ac:dyDescent="0.4">
      <c r="A32" t="s">
        <v>11</v>
      </c>
      <c r="B32" t="s">
        <v>14</v>
      </c>
      <c r="C32" t="str">
        <f t="shared" si="0"/>
        <v>Low SA Level</v>
      </c>
      <c r="D32" s="1" t="str">
        <f t="shared" si="1"/>
        <v>0.5</v>
      </c>
      <c r="E32">
        <v>21</v>
      </c>
      <c r="F32">
        <v>6</v>
      </c>
      <c r="G32">
        <v>2025</v>
      </c>
      <c r="I32">
        <v>7</v>
      </c>
      <c r="J32">
        <v>2025</v>
      </c>
      <c r="K32">
        <v>22</v>
      </c>
      <c r="L32">
        <v>1</v>
      </c>
      <c r="M32">
        <v>7</v>
      </c>
      <c r="N32">
        <v>5.0000000000000001E-4</v>
      </c>
      <c r="O32">
        <v>5.9999999999999995E-4</v>
      </c>
      <c r="P32">
        <v>3</v>
      </c>
      <c r="Q32">
        <v>3</v>
      </c>
      <c r="R32">
        <f t="shared" si="2"/>
        <v>1.6666666666666666E-4</v>
      </c>
      <c r="S32">
        <f t="shared" si="3"/>
        <v>1.9999999999999998E-4</v>
      </c>
      <c r="T32" t="s">
        <v>23</v>
      </c>
      <c r="U32">
        <v>6.1111111109999996</v>
      </c>
      <c r="V32">
        <v>15</v>
      </c>
    </row>
    <row r="33" spans="1:22" x14ac:dyDescent="0.4">
      <c r="A33" t="s">
        <v>11</v>
      </c>
      <c r="B33" t="s">
        <v>13</v>
      </c>
      <c r="C33" t="str">
        <f t="shared" si="0"/>
        <v>High SA Level</v>
      </c>
      <c r="D33" s="1" t="str">
        <f t="shared" si="1"/>
        <v>1.0</v>
      </c>
      <c r="E33">
        <v>21</v>
      </c>
      <c r="F33">
        <v>6</v>
      </c>
      <c r="G33">
        <v>2025</v>
      </c>
      <c r="I33">
        <v>7</v>
      </c>
      <c r="J33">
        <v>2025</v>
      </c>
      <c r="K33">
        <v>22</v>
      </c>
      <c r="L33">
        <v>1</v>
      </c>
      <c r="M33">
        <v>7</v>
      </c>
      <c r="N33">
        <v>2.9999999999999997E-4</v>
      </c>
      <c r="O33">
        <v>5.9999999999999995E-4</v>
      </c>
      <c r="P33">
        <v>2</v>
      </c>
      <c r="Q33">
        <v>2</v>
      </c>
      <c r="R33">
        <f t="shared" si="2"/>
        <v>1.4999999999999999E-4</v>
      </c>
      <c r="S33">
        <f t="shared" si="3"/>
        <v>2.9999999999999997E-4</v>
      </c>
      <c r="T33" t="s">
        <v>23</v>
      </c>
      <c r="U33">
        <v>6.1111111109999996</v>
      </c>
      <c r="V33">
        <v>15</v>
      </c>
    </row>
    <row r="34" spans="1:22" x14ac:dyDescent="0.4">
      <c r="A34" t="s">
        <v>11</v>
      </c>
      <c r="B34" t="s">
        <v>12</v>
      </c>
      <c r="C34" t="str">
        <f t="shared" ref="C34:C65" si="4">IF(B34="L","Low SA Level",IF(B34="C","Control",IF(B34="W","Water Only",IF(B34="H","High SA Level"))))</f>
        <v>Control</v>
      </c>
      <c r="D34" s="1" t="str">
        <f t="shared" ref="D34:D69" si="5">IF(B34="L","0.5",IF(B34="C","0.0",IF(B34="W","0.0",IF(B34="H","1.0"))))</f>
        <v>0.0</v>
      </c>
      <c r="E34">
        <v>21</v>
      </c>
      <c r="F34">
        <v>6</v>
      </c>
      <c r="G34">
        <v>2025</v>
      </c>
      <c r="I34">
        <v>7</v>
      </c>
      <c r="J34">
        <v>2025</v>
      </c>
      <c r="K34">
        <v>25</v>
      </c>
      <c r="L34">
        <v>7</v>
      </c>
      <c r="M34">
        <v>7</v>
      </c>
      <c r="N34">
        <v>1.1000000000000001E-3</v>
      </c>
      <c r="O34">
        <v>1.2999999999999999E-3</v>
      </c>
      <c r="P34">
        <v>3</v>
      </c>
      <c r="Q34">
        <v>3</v>
      </c>
      <c r="R34">
        <f t="shared" ref="R34:R69" si="6">N34/P34</f>
        <v>3.6666666666666667E-4</v>
      </c>
      <c r="S34">
        <f t="shared" ref="S34:S69" si="7">O34/Q34</f>
        <v>4.3333333333333331E-4</v>
      </c>
      <c r="T34" t="s">
        <v>23</v>
      </c>
      <c r="U34">
        <v>15</v>
      </c>
      <c r="V34">
        <v>15</v>
      </c>
    </row>
    <row r="35" spans="1:22" x14ac:dyDescent="0.4">
      <c r="A35" t="s">
        <v>11</v>
      </c>
      <c r="B35" t="s">
        <v>15</v>
      </c>
      <c r="C35" t="str">
        <f t="shared" si="4"/>
        <v>Water Only</v>
      </c>
      <c r="D35" s="1" t="str">
        <f t="shared" si="5"/>
        <v>0.0</v>
      </c>
      <c r="E35">
        <v>21</v>
      </c>
      <c r="F35">
        <v>6</v>
      </c>
      <c r="G35">
        <v>2025</v>
      </c>
      <c r="I35">
        <v>7</v>
      </c>
      <c r="J35">
        <v>2025</v>
      </c>
      <c r="K35">
        <v>25</v>
      </c>
      <c r="L35">
        <v>7</v>
      </c>
      <c r="M35">
        <v>7</v>
      </c>
      <c r="N35">
        <v>8.9999999999999998E-4</v>
      </c>
      <c r="O35">
        <v>1.2999999999999999E-3</v>
      </c>
      <c r="P35">
        <v>4</v>
      </c>
      <c r="Q35">
        <v>4</v>
      </c>
      <c r="R35">
        <f t="shared" si="6"/>
        <v>2.2499999999999999E-4</v>
      </c>
      <c r="S35">
        <f t="shared" si="7"/>
        <v>3.2499999999999999E-4</v>
      </c>
      <c r="T35" t="s">
        <v>23</v>
      </c>
      <c r="U35">
        <v>15</v>
      </c>
      <c r="V35">
        <v>15</v>
      </c>
    </row>
    <row r="36" spans="1:22" x14ac:dyDescent="0.4">
      <c r="A36" t="s">
        <v>11</v>
      </c>
      <c r="B36" t="s">
        <v>14</v>
      </c>
      <c r="C36" t="str">
        <f t="shared" si="4"/>
        <v>Low SA Level</v>
      </c>
      <c r="D36" s="1" t="str">
        <f t="shared" si="5"/>
        <v>0.5</v>
      </c>
      <c r="E36">
        <v>21</v>
      </c>
      <c r="F36">
        <v>6</v>
      </c>
      <c r="G36">
        <v>2025</v>
      </c>
      <c r="I36">
        <v>7</v>
      </c>
      <c r="J36">
        <v>2025</v>
      </c>
      <c r="K36">
        <v>25</v>
      </c>
      <c r="L36">
        <v>7</v>
      </c>
      <c r="M36">
        <v>7</v>
      </c>
      <c r="N36">
        <v>6.9999999999999999E-4</v>
      </c>
      <c r="O36">
        <v>1E-3</v>
      </c>
      <c r="P36">
        <v>4</v>
      </c>
      <c r="Q36">
        <v>4</v>
      </c>
      <c r="R36">
        <f t="shared" si="6"/>
        <v>1.75E-4</v>
      </c>
      <c r="S36">
        <f t="shared" si="7"/>
        <v>2.5000000000000001E-4</v>
      </c>
      <c r="T36" t="s">
        <v>23</v>
      </c>
      <c r="U36">
        <v>15</v>
      </c>
      <c r="V36">
        <v>15</v>
      </c>
    </row>
    <row r="37" spans="1:22" x14ac:dyDescent="0.4">
      <c r="A37" t="s">
        <v>11</v>
      </c>
      <c r="B37" t="s">
        <v>13</v>
      </c>
      <c r="C37" t="str">
        <f t="shared" si="4"/>
        <v>High SA Level</v>
      </c>
      <c r="D37" s="1" t="str">
        <f t="shared" si="5"/>
        <v>1.0</v>
      </c>
      <c r="E37">
        <v>21</v>
      </c>
      <c r="F37">
        <v>6</v>
      </c>
      <c r="G37">
        <v>2025</v>
      </c>
      <c r="I37">
        <v>7</v>
      </c>
      <c r="J37">
        <v>2025</v>
      </c>
      <c r="K37">
        <v>25</v>
      </c>
      <c r="L37">
        <v>7</v>
      </c>
      <c r="M37">
        <v>7</v>
      </c>
      <c r="N37">
        <v>2E-3</v>
      </c>
      <c r="O37">
        <v>1.4E-3</v>
      </c>
      <c r="P37">
        <v>3</v>
      </c>
      <c r="Q37">
        <v>3</v>
      </c>
      <c r="R37">
        <f t="shared" si="6"/>
        <v>6.6666666666666664E-4</v>
      </c>
      <c r="S37">
        <f t="shared" si="7"/>
        <v>4.6666666666666666E-4</v>
      </c>
      <c r="T37" t="s">
        <v>23</v>
      </c>
      <c r="U37">
        <v>15</v>
      </c>
      <c r="V37">
        <v>15</v>
      </c>
    </row>
    <row r="38" spans="1:22" x14ac:dyDescent="0.4">
      <c r="A38" t="s">
        <v>11</v>
      </c>
      <c r="B38" t="s">
        <v>12</v>
      </c>
      <c r="C38" t="str">
        <f t="shared" si="4"/>
        <v>Control</v>
      </c>
      <c r="D38" s="1" t="str">
        <f t="shared" si="5"/>
        <v>0.0</v>
      </c>
      <c r="E38">
        <v>21</v>
      </c>
      <c r="F38">
        <v>6</v>
      </c>
      <c r="G38">
        <v>2025</v>
      </c>
      <c r="I38">
        <v>7</v>
      </c>
      <c r="J38">
        <v>2025</v>
      </c>
      <c r="K38">
        <v>28</v>
      </c>
      <c r="L38">
        <v>13</v>
      </c>
      <c r="M38">
        <v>7</v>
      </c>
      <c r="N38">
        <v>5.0000000000000001E-4</v>
      </c>
      <c r="O38">
        <v>6.9999999999999999E-4</v>
      </c>
      <c r="P38">
        <v>3</v>
      </c>
      <c r="Q38">
        <v>3</v>
      </c>
      <c r="R38">
        <f t="shared" si="6"/>
        <v>1.6666666666666666E-4</v>
      </c>
      <c r="S38">
        <f t="shared" si="7"/>
        <v>2.3333333333333333E-4</v>
      </c>
      <c r="T38" t="s">
        <v>23</v>
      </c>
      <c r="U38">
        <v>23.88888889</v>
      </c>
      <c r="V38">
        <v>15</v>
      </c>
    </row>
    <row r="39" spans="1:22" x14ac:dyDescent="0.4">
      <c r="A39" t="s">
        <v>11</v>
      </c>
      <c r="B39" t="s">
        <v>15</v>
      </c>
      <c r="C39" t="str">
        <f t="shared" si="4"/>
        <v>Water Only</v>
      </c>
      <c r="D39" s="1" t="str">
        <f t="shared" si="5"/>
        <v>0.0</v>
      </c>
      <c r="E39">
        <v>21</v>
      </c>
      <c r="F39">
        <v>6</v>
      </c>
      <c r="G39">
        <v>2025</v>
      </c>
      <c r="I39">
        <v>7</v>
      </c>
      <c r="J39">
        <v>2025</v>
      </c>
      <c r="K39">
        <v>28</v>
      </c>
      <c r="L39">
        <v>13</v>
      </c>
      <c r="M39">
        <v>7</v>
      </c>
      <c r="N39">
        <v>2.9999999999999997E-4</v>
      </c>
      <c r="O39">
        <v>1E-3</v>
      </c>
      <c r="P39">
        <v>4</v>
      </c>
      <c r="Q39">
        <v>4</v>
      </c>
      <c r="R39">
        <f t="shared" si="6"/>
        <v>7.4999999999999993E-5</v>
      </c>
      <c r="S39">
        <f t="shared" si="7"/>
        <v>2.5000000000000001E-4</v>
      </c>
      <c r="T39" t="s">
        <v>23</v>
      </c>
      <c r="U39">
        <v>23.88888889</v>
      </c>
      <c r="V39">
        <v>15</v>
      </c>
    </row>
    <row r="40" spans="1:22" x14ac:dyDescent="0.4">
      <c r="A40" t="s">
        <v>11</v>
      </c>
      <c r="B40" t="s">
        <v>14</v>
      </c>
      <c r="C40" t="str">
        <f t="shared" si="4"/>
        <v>Low SA Level</v>
      </c>
      <c r="D40" s="1" t="str">
        <f t="shared" si="5"/>
        <v>0.5</v>
      </c>
      <c r="E40">
        <v>21</v>
      </c>
      <c r="F40">
        <v>6</v>
      </c>
      <c r="G40">
        <v>2025</v>
      </c>
      <c r="I40">
        <v>7</v>
      </c>
      <c r="J40">
        <v>2025</v>
      </c>
      <c r="K40">
        <v>28</v>
      </c>
      <c r="L40">
        <v>13</v>
      </c>
      <c r="M40">
        <v>7</v>
      </c>
      <c r="N40">
        <v>1.2999999999999999E-3</v>
      </c>
      <c r="O40">
        <v>1.4E-3</v>
      </c>
      <c r="P40">
        <v>4</v>
      </c>
      <c r="Q40">
        <v>4</v>
      </c>
      <c r="R40">
        <f t="shared" si="6"/>
        <v>3.2499999999999999E-4</v>
      </c>
      <c r="S40">
        <f t="shared" si="7"/>
        <v>3.5E-4</v>
      </c>
      <c r="T40" t="s">
        <v>23</v>
      </c>
      <c r="U40">
        <v>23.88888889</v>
      </c>
      <c r="V40">
        <v>15</v>
      </c>
    </row>
    <row r="41" spans="1:22" x14ac:dyDescent="0.4">
      <c r="A41" t="s">
        <v>11</v>
      </c>
      <c r="B41" t="s">
        <v>13</v>
      </c>
      <c r="C41" t="str">
        <f t="shared" si="4"/>
        <v>High SA Level</v>
      </c>
      <c r="D41" s="1" t="str">
        <f t="shared" si="5"/>
        <v>1.0</v>
      </c>
      <c r="E41">
        <v>21</v>
      </c>
      <c r="F41">
        <v>6</v>
      </c>
      <c r="G41">
        <v>2025</v>
      </c>
      <c r="I41">
        <v>7</v>
      </c>
      <c r="J41">
        <v>2025</v>
      </c>
      <c r="K41">
        <v>28</v>
      </c>
      <c r="L41">
        <v>13</v>
      </c>
      <c r="M41">
        <v>7</v>
      </c>
      <c r="N41">
        <v>4.0000000000000002E-4</v>
      </c>
      <c r="O41">
        <v>8.9999999999999998E-4</v>
      </c>
      <c r="P41">
        <v>3</v>
      </c>
      <c r="Q41">
        <v>3</v>
      </c>
      <c r="R41">
        <f t="shared" si="6"/>
        <v>1.3333333333333334E-4</v>
      </c>
      <c r="S41">
        <f t="shared" si="7"/>
        <v>2.9999999999999997E-4</v>
      </c>
      <c r="T41" t="s">
        <v>23</v>
      </c>
      <c r="U41">
        <v>23.88888889</v>
      </c>
      <c r="V41">
        <v>15</v>
      </c>
    </row>
    <row r="42" spans="1:22" x14ac:dyDescent="0.4">
      <c r="A42" t="s">
        <v>11</v>
      </c>
      <c r="B42" t="s">
        <v>12</v>
      </c>
      <c r="C42" t="str">
        <f t="shared" si="4"/>
        <v>Control</v>
      </c>
      <c r="D42" s="1" t="str">
        <f t="shared" si="5"/>
        <v>0.0</v>
      </c>
      <c r="E42">
        <v>21</v>
      </c>
      <c r="F42">
        <v>6</v>
      </c>
      <c r="G42">
        <v>2025</v>
      </c>
      <c r="I42">
        <v>7</v>
      </c>
      <c r="J42">
        <v>2025</v>
      </c>
      <c r="K42">
        <v>31</v>
      </c>
      <c r="L42">
        <v>5</v>
      </c>
      <c r="M42">
        <v>9</v>
      </c>
      <c r="N42">
        <v>1.1000000000000001E-3</v>
      </c>
      <c r="O42">
        <v>1.2999999999999999E-3</v>
      </c>
      <c r="P42">
        <v>4</v>
      </c>
      <c r="Q42">
        <v>4</v>
      </c>
      <c r="R42">
        <f t="shared" si="6"/>
        <v>2.7500000000000002E-4</v>
      </c>
      <c r="S42">
        <f t="shared" si="7"/>
        <v>3.2499999999999999E-4</v>
      </c>
      <c r="T42" t="s">
        <v>23</v>
      </c>
      <c r="U42">
        <v>12.03703704</v>
      </c>
      <c r="V42">
        <v>12.03703704</v>
      </c>
    </row>
    <row r="43" spans="1:22" x14ac:dyDescent="0.4">
      <c r="A43" t="s">
        <v>11</v>
      </c>
      <c r="B43" t="s">
        <v>15</v>
      </c>
      <c r="C43" t="str">
        <f t="shared" si="4"/>
        <v>Water Only</v>
      </c>
      <c r="D43" s="1" t="str">
        <f t="shared" si="5"/>
        <v>0.0</v>
      </c>
      <c r="E43">
        <v>21</v>
      </c>
      <c r="F43">
        <v>6</v>
      </c>
      <c r="G43">
        <v>2025</v>
      </c>
      <c r="I43">
        <v>7</v>
      </c>
      <c r="J43">
        <v>2025</v>
      </c>
      <c r="K43">
        <v>31</v>
      </c>
      <c r="L43">
        <v>5</v>
      </c>
      <c r="M43">
        <v>9</v>
      </c>
      <c r="N43">
        <v>5.0000000000000001E-4</v>
      </c>
      <c r="O43">
        <v>1.1999999999999999E-3</v>
      </c>
      <c r="P43">
        <v>4</v>
      </c>
      <c r="Q43">
        <v>4</v>
      </c>
      <c r="R43">
        <f t="shared" si="6"/>
        <v>1.25E-4</v>
      </c>
      <c r="S43">
        <f t="shared" si="7"/>
        <v>2.9999999999999997E-4</v>
      </c>
      <c r="T43" t="s">
        <v>23</v>
      </c>
      <c r="U43">
        <v>12.03703704</v>
      </c>
      <c r="V43">
        <v>12.03703704</v>
      </c>
    </row>
    <row r="44" spans="1:22" x14ac:dyDescent="0.4">
      <c r="A44" t="s">
        <v>11</v>
      </c>
      <c r="B44" t="s">
        <v>14</v>
      </c>
      <c r="C44" t="str">
        <f t="shared" si="4"/>
        <v>Low SA Level</v>
      </c>
      <c r="D44" s="1" t="str">
        <f t="shared" si="5"/>
        <v>0.5</v>
      </c>
      <c r="E44">
        <v>21</v>
      </c>
      <c r="F44">
        <v>6</v>
      </c>
      <c r="G44">
        <v>2025</v>
      </c>
      <c r="I44">
        <v>7</v>
      </c>
      <c r="J44">
        <v>2025</v>
      </c>
      <c r="K44">
        <v>31</v>
      </c>
      <c r="L44">
        <v>5</v>
      </c>
      <c r="M44">
        <v>9</v>
      </c>
      <c r="N44">
        <v>1E-4</v>
      </c>
      <c r="O44">
        <v>1E-3</v>
      </c>
      <c r="P44">
        <v>3</v>
      </c>
      <c r="Q44">
        <v>3</v>
      </c>
      <c r="R44">
        <f t="shared" si="6"/>
        <v>3.3333333333333335E-5</v>
      </c>
      <c r="S44">
        <f t="shared" si="7"/>
        <v>3.3333333333333332E-4</v>
      </c>
      <c r="T44" t="s">
        <v>23</v>
      </c>
      <c r="U44">
        <v>12.03703704</v>
      </c>
      <c r="V44">
        <v>12.03703704</v>
      </c>
    </row>
    <row r="45" spans="1:22" x14ac:dyDescent="0.4">
      <c r="A45" t="s">
        <v>11</v>
      </c>
      <c r="B45" t="s">
        <v>13</v>
      </c>
      <c r="C45" t="str">
        <f t="shared" si="4"/>
        <v>High SA Level</v>
      </c>
      <c r="D45" s="1" t="str">
        <f t="shared" si="5"/>
        <v>1.0</v>
      </c>
      <c r="E45">
        <v>21</v>
      </c>
      <c r="F45">
        <v>6</v>
      </c>
      <c r="G45">
        <v>2025</v>
      </c>
      <c r="I45">
        <v>7</v>
      </c>
      <c r="J45">
        <v>2025</v>
      </c>
      <c r="K45">
        <v>31</v>
      </c>
      <c r="L45">
        <v>5</v>
      </c>
      <c r="M45">
        <v>9</v>
      </c>
      <c r="N45">
        <v>2.9999999999999997E-4</v>
      </c>
      <c r="O45">
        <v>1.8E-3</v>
      </c>
      <c r="P45">
        <v>4</v>
      </c>
      <c r="Q45">
        <v>4</v>
      </c>
      <c r="R45">
        <f t="shared" si="6"/>
        <v>7.4999999999999993E-5</v>
      </c>
      <c r="S45">
        <f t="shared" si="7"/>
        <v>4.4999999999999999E-4</v>
      </c>
      <c r="T45" t="s">
        <v>23</v>
      </c>
      <c r="U45">
        <v>12.03703704</v>
      </c>
      <c r="V45">
        <v>12.03703704</v>
      </c>
    </row>
    <row r="46" spans="1:22" x14ac:dyDescent="0.4">
      <c r="A46" t="s">
        <v>11</v>
      </c>
      <c r="B46" t="s">
        <v>12</v>
      </c>
      <c r="C46" t="str">
        <f t="shared" si="4"/>
        <v>Control</v>
      </c>
      <c r="D46" s="1" t="str">
        <f t="shared" si="5"/>
        <v>0.0</v>
      </c>
      <c r="E46">
        <v>21</v>
      </c>
      <c r="F46">
        <v>6</v>
      </c>
      <c r="G46">
        <v>2025</v>
      </c>
      <c r="I46">
        <v>7</v>
      </c>
      <c r="J46">
        <v>2025</v>
      </c>
      <c r="K46">
        <v>33</v>
      </c>
      <c r="L46">
        <v>9</v>
      </c>
      <c r="M46">
        <v>9</v>
      </c>
      <c r="N46">
        <v>1.1000000000000001E-3</v>
      </c>
      <c r="O46">
        <v>1.5E-3</v>
      </c>
      <c r="P46">
        <v>4</v>
      </c>
      <c r="Q46">
        <v>4</v>
      </c>
      <c r="R46">
        <f t="shared" si="6"/>
        <v>2.7500000000000002E-4</v>
      </c>
      <c r="S46">
        <f t="shared" si="7"/>
        <v>3.7500000000000001E-4</v>
      </c>
      <c r="T46" t="s">
        <v>23</v>
      </c>
      <c r="U46">
        <v>17.962962959999999</v>
      </c>
      <c r="V46">
        <v>12.03703704</v>
      </c>
    </row>
    <row r="47" spans="1:22" x14ac:dyDescent="0.4">
      <c r="A47" t="s">
        <v>11</v>
      </c>
      <c r="B47" t="s">
        <v>15</v>
      </c>
      <c r="C47" t="str">
        <f t="shared" si="4"/>
        <v>Water Only</v>
      </c>
      <c r="D47" s="1" t="str">
        <f t="shared" si="5"/>
        <v>0.0</v>
      </c>
      <c r="E47">
        <v>21</v>
      </c>
      <c r="F47">
        <v>6</v>
      </c>
      <c r="G47">
        <v>2025</v>
      </c>
      <c r="I47">
        <v>7</v>
      </c>
      <c r="J47">
        <v>2025</v>
      </c>
      <c r="K47">
        <v>33</v>
      </c>
      <c r="L47">
        <v>9</v>
      </c>
      <c r="M47">
        <v>9</v>
      </c>
      <c r="N47">
        <v>8.9999999999999998E-4</v>
      </c>
      <c r="O47">
        <v>1.1999999999999999E-3</v>
      </c>
      <c r="P47">
        <v>3</v>
      </c>
      <c r="Q47">
        <v>3</v>
      </c>
      <c r="R47">
        <f t="shared" si="6"/>
        <v>2.9999999999999997E-4</v>
      </c>
      <c r="S47">
        <f t="shared" si="7"/>
        <v>3.9999999999999996E-4</v>
      </c>
      <c r="T47" t="s">
        <v>23</v>
      </c>
      <c r="U47">
        <v>17.962962959999999</v>
      </c>
      <c r="V47">
        <v>12.03703704</v>
      </c>
    </row>
    <row r="48" spans="1:22" x14ac:dyDescent="0.4">
      <c r="A48" t="s">
        <v>11</v>
      </c>
      <c r="B48" t="s">
        <v>14</v>
      </c>
      <c r="C48" t="str">
        <f t="shared" si="4"/>
        <v>Low SA Level</v>
      </c>
      <c r="D48" s="1" t="str">
        <f t="shared" si="5"/>
        <v>0.5</v>
      </c>
      <c r="E48">
        <v>21</v>
      </c>
      <c r="F48">
        <v>6</v>
      </c>
      <c r="G48">
        <v>2025</v>
      </c>
      <c r="I48">
        <v>7</v>
      </c>
      <c r="J48">
        <v>2025</v>
      </c>
      <c r="K48">
        <v>33</v>
      </c>
      <c r="L48">
        <v>9</v>
      </c>
      <c r="M48">
        <v>9</v>
      </c>
      <c r="N48">
        <v>1.1000000000000001E-3</v>
      </c>
      <c r="O48">
        <v>1.2999999999999999E-3</v>
      </c>
      <c r="P48">
        <v>4</v>
      </c>
      <c r="Q48">
        <v>4</v>
      </c>
      <c r="R48">
        <f t="shared" si="6"/>
        <v>2.7500000000000002E-4</v>
      </c>
      <c r="S48">
        <f t="shared" si="7"/>
        <v>3.2499999999999999E-4</v>
      </c>
      <c r="T48" t="s">
        <v>23</v>
      </c>
      <c r="U48">
        <v>17.962962959999999</v>
      </c>
      <c r="V48">
        <v>12.03703704</v>
      </c>
    </row>
    <row r="49" spans="1:22" x14ac:dyDescent="0.4">
      <c r="A49" t="s">
        <v>11</v>
      </c>
      <c r="B49" t="s">
        <v>13</v>
      </c>
      <c r="C49" t="str">
        <f t="shared" si="4"/>
        <v>High SA Level</v>
      </c>
      <c r="D49" s="1" t="str">
        <f t="shared" si="5"/>
        <v>1.0</v>
      </c>
      <c r="E49">
        <v>21</v>
      </c>
      <c r="F49">
        <v>6</v>
      </c>
      <c r="G49">
        <v>2025</v>
      </c>
      <c r="I49">
        <v>7</v>
      </c>
      <c r="J49">
        <v>2025</v>
      </c>
      <c r="K49">
        <v>33</v>
      </c>
      <c r="L49">
        <v>9</v>
      </c>
      <c r="M49">
        <v>9</v>
      </c>
      <c r="N49">
        <v>2.9999999999999997E-4</v>
      </c>
      <c r="O49">
        <v>8.0000000000000004E-4</v>
      </c>
      <c r="P49">
        <v>2</v>
      </c>
      <c r="Q49">
        <v>2</v>
      </c>
      <c r="R49">
        <f t="shared" si="6"/>
        <v>1.4999999999999999E-4</v>
      </c>
      <c r="S49">
        <f t="shared" si="7"/>
        <v>4.0000000000000002E-4</v>
      </c>
      <c r="T49" t="s">
        <v>23</v>
      </c>
      <c r="U49">
        <v>17.962962959999999</v>
      </c>
      <c r="V49">
        <v>12.03703704</v>
      </c>
    </row>
    <row r="50" spans="1:22" x14ac:dyDescent="0.4">
      <c r="A50" t="s">
        <v>11</v>
      </c>
      <c r="B50" t="s">
        <v>12</v>
      </c>
      <c r="C50" t="str">
        <f t="shared" si="4"/>
        <v>Control</v>
      </c>
      <c r="D50" s="1" t="str">
        <f t="shared" si="5"/>
        <v>0.0</v>
      </c>
      <c r="E50">
        <v>21</v>
      </c>
      <c r="F50">
        <v>6</v>
      </c>
      <c r="G50">
        <v>2025</v>
      </c>
      <c r="I50">
        <v>7</v>
      </c>
      <c r="J50">
        <v>2025</v>
      </c>
      <c r="K50">
        <v>37</v>
      </c>
      <c r="L50">
        <v>3</v>
      </c>
      <c r="M50">
        <v>11</v>
      </c>
      <c r="N50">
        <v>6.9999999999999999E-4</v>
      </c>
      <c r="O50">
        <v>8.0000000000000004E-4</v>
      </c>
      <c r="P50">
        <v>4</v>
      </c>
      <c r="Q50">
        <v>4</v>
      </c>
      <c r="R50">
        <f t="shared" si="6"/>
        <v>1.75E-4</v>
      </c>
      <c r="S50">
        <f t="shared" si="7"/>
        <v>2.0000000000000001E-4</v>
      </c>
      <c r="T50" t="s">
        <v>23</v>
      </c>
      <c r="U50">
        <v>9.0740740740000003</v>
      </c>
      <c r="V50">
        <v>9.0740740740000003</v>
      </c>
    </row>
    <row r="51" spans="1:22" x14ac:dyDescent="0.4">
      <c r="A51" t="s">
        <v>11</v>
      </c>
      <c r="B51" t="s">
        <v>15</v>
      </c>
      <c r="C51" t="str">
        <f t="shared" si="4"/>
        <v>Water Only</v>
      </c>
      <c r="D51" s="1" t="str">
        <f t="shared" si="5"/>
        <v>0.0</v>
      </c>
      <c r="E51">
        <v>21</v>
      </c>
      <c r="F51">
        <v>6</v>
      </c>
      <c r="G51">
        <v>2025</v>
      </c>
      <c r="I51">
        <v>7</v>
      </c>
      <c r="J51">
        <v>2025</v>
      </c>
      <c r="K51">
        <v>37</v>
      </c>
      <c r="L51">
        <v>3</v>
      </c>
      <c r="M51">
        <v>11</v>
      </c>
      <c r="N51">
        <v>2.9999999999999997E-4</v>
      </c>
      <c r="O51">
        <v>5.0000000000000001E-4</v>
      </c>
      <c r="P51">
        <v>3</v>
      </c>
      <c r="Q51">
        <v>3</v>
      </c>
      <c r="R51">
        <f t="shared" si="6"/>
        <v>9.9999999999999991E-5</v>
      </c>
      <c r="S51">
        <f t="shared" si="7"/>
        <v>1.6666666666666666E-4</v>
      </c>
      <c r="T51" t="s">
        <v>23</v>
      </c>
      <c r="U51">
        <v>9.0740740740000003</v>
      </c>
      <c r="V51">
        <v>9.0740740740000003</v>
      </c>
    </row>
    <row r="52" spans="1:22" x14ac:dyDescent="0.4">
      <c r="A52" t="s">
        <v>11</v>
      </c>
      <c r="B52" t="s">
        <v>14</v>
      </c>
      <c r="C52" t="str">
        <f t="shared" si="4"/>
        <v>Low SA Level</v>
      </c>
      <c r="D52" s="1" t="str">
        <f t="shared" si="5"/>
        <v>0.5</v>
      </c>
      <c r="E52">
        <v>21</v>
      </c>
      <c r="F52">
        <v>6</v>
      </c>
      <c r="G52">
        <v>2025</v>
      </c>
      <c r="I52">
        <v>7</v>
      </c>
      <c r="J52">
        <v>2025</v>
      </c>
      <c r="K52">
        <v>37</v>
      </c>
      <c r="L52">
        <v>3</v>
      </c>
      <c r="M52">
        <v>11</v>
      </c>
      <c r="N52">
        <v>2.9999999999999997E-4</v>
      </c>
      <c r="O52">
        <v>8.9999999999999998E-4</v>
      </c>
      <c r="P52">
        <v>4</v>
      </c>
      <c r="Q52">
        <v>4</v>
      </c>
      <c r="R52">
        <f t="shared" si="6"/>
        <v>7.4999999999999993E-5</v>
      </c>
      <c r="S52">
        <f t="shared" si="7"/>
        <v>2.2499999999999999E-4</v>
      </c>
      <c r="T52" t="s">
        <v>23</v>
      </c>
      <c r="U52">
        <v>9.0740740740000003</v>
      </c>
      <c r="V52">
        <v>9.0740740740000003</v>
      </c>
    </row>
    <row r="53" spans="1:22" x14ac:dyDescent="0.4">
      <c r="A53" t="s">
        <v>11</v>
      </c>
      <c r="B53" t="s">
        <v>13</v>
      </c>
      <c r="C53" t="str">
        <f t="shared" si="4"/>
        <v>High SA Level</v>
      </c>
      <c r="D53" s="1" t="str">
        <f t="shared" si="5"/>
        <v>1.0</v>
      </c>
      <c r="E53">
        <v>21</v>
      </c>
      <c r="F53">
        <v>6</v>
      </c>
      <c r="G53">
        <v>2025</v>
      </c>
      <c r="I53">
        <v>7</v>
      </c>
      <c r="J53">
        <v>2025</v>
      </c>
      <c r="K53">
        <v>37</v>
      </c>
      <c r="L53">
        <v>3</v>
      </c>
      <c r="M53">
        <v>11</v>
      </c>
      <c r="N53">
        <v>6.9999999999999999E-4</v>
      </c>
      <c r="O53">
        <v>1E-3</v>
      </c>
      <c r="P53">
        <v>4</v>
      </c>
      <c r="Q53">
        <v>4</v>
      </c>
      <c r="R53">
        <f t="shared" si="6"/>
        <v>1.75E-4</v>
      </c>
      <c r="S53">
        <f t="shared" si="7"/>
        <v>2.5000000000000001E-4</v>
      </c>
      <c r="T53" t="s">
        <v>23</v>
      </c>
      <c r="U53">
        <v>9.0740740740000003</v>
      </c>
      <c r="V53">
        <v>9.0740740740000003</v>
      </c>
    </row>
    <row r="54" spans="1:22" x14ac:dyDescent="0.4">
      <c r="A54" t="s">
        <v>11</v>
      </c>
      <c r="B54" t="s">
        <v>12</v>
      </c>
      <c r="C54" t="str">
        <f t="shared" si="4"/>
        <v>Control</v>
      </c>
      <c r="D54" s="1" t="str">
        <f t="shared" si="5"/>
        <v>0.0</v>
      </c>
      <c r="E54">
        <v>21</v>
      </c>
      <c r="F54">
        <v>6</v>
      </c>
      <c r="G54">
        <v>2025</v>
      </c>
      <c r="I54">
        <v>7</v>
      </c>
      <c r="J54">
        <v>2025</v>
      </c>
      <c r="K54">
        <v>41</v>
      </c>
      <c r="L54">
        <v>11</v>
      </c>
      <c r="M54">
        <v>11</v>
      </c>
      <c r="N54">
        <v>5.9999999999999995E-4</v>
      </c>
      <c r="O54">
        <v>2E-3</v>
      </c>
      <c r="P54">
        <v>4</v>
      </c>
      <c r="Q54">
        <v>4</v>
      </c>
      <c r="R54">
        <f t="shared" si="6"/>
        <v>1.4999999999999999E-4</v>
      </c>
      <c r="S54">
        <f t="shared" si="7"/>
        <v>5.0000000000000001E-4</v>
      </c>
      <c r="T54" t="s">
        <v>23</v>
      </c>
      <c r="U54">
        <v>20.925925929999998</v>
      </c>
      <c r="V54">
        <v>9.0740740740000003</v>
      </c>
    </row>
    <row r="55" spans="1:22" x14ac:dyDescent="0.4">
      <c r="A55" t="s">
        <v>11</v>
      </c>
      <c r="B55" t="s">
        <v>15</v>
      </c>
      <c r="C55" t="str">
        <f t="shared" si="4"/>
        <v>Water Only</v>
      </c>
      <c r="D55" s="1" t="str">
        <f t="shared" si="5"/>
        <v>0.0</v>
      </c>
      <c r="E55">
        <v>21</v>
      </c>
      <c r="F55">
        <v>6</v>
      </c>
      <c r="G55">
        <v>2025</v>
      </c>
      <c r="I55">
        <v>7</v>
      </c>
      <c r="J55">
        <v>2025</v>
      </c>
      <c r="K55">
        <v>41</v>
      </c>
      <c r="L55">
        <v>11</v>
      </c>
      <c r="M55">
        <v>11</v>
      </c>
      <c r="N55">
        <v>8.0000000000000004E-4</v>
      </c>
      <c r="O55">
        <v>1.2999999999999999E-3</v>
      </c>
      <c r="P55">
        <v>4</v>
      </c>
      <c r="Q55">
        <v>4</v>
      </c>
      <c r="R55">
        <f t="shared" si="6"/>
        <v>2.0000000000000001E-4</v>
      </c>
      <c r="S55">
        <f t="shared" si="7"/>
        <v>3.2499999999999999E-4</v>
      </c>
      <c r="T55" t="s">
        <v>23</v>
      </c>
      <c r="U55">
        <v>20.925925929999998</v>
      </c>
      <c r="V55">
        <v>9.0740740740000003</v>
      </c>
    </row>
    <row r="56" spans="1:22" x14ac:dyDescent="0.4">
      <c r="A56" t="s">
        <v>11</v>
      </c>
      <c r="B56" t="s">
        <v>14</v>
      </c>
      <c r="C56" t="str">
        <f t="shared" si="4"/>
        <v>Low SA Level</v>
      </c>
      <c r="D56" s="1" t="str">
        <f t="shared" si="5"/>
        <v>0.5</v>
      </c>
      <c r="E56">
        <v>21</v>
      </c>
      <c r="F56">
        <v>6</v>
      </c>
      <c r="G56">
        <v>2025</v>
      </c>
      <c r="I56">
        <v>7</v>
      </c>
      <c r="J56">
        <v>2025</v>
      </c>
      <c r="K56">
        <v>41</v>
      </c>
      <c r="L56">
        <v>11</v>
      </c>
      <c r="M56">
        <v>11</v>
      </c>
      <c r="N56">
        <v>2.9999999999999997E-4</v>
      </c>
      <c r="O56">
        <v>8.0000000000000004E-4</v>
      </c>
      <c r="P56">
        <v>4</v>
      </c>
      <c r="Q56">
        <v>4</v>
      </c>
      <c r="R56">
        <f t="shared" si="6"/>
        <v>7.4999999999999993E-5</v>
      </c>
      <c r="S56">
        <f t="shared" si="7"/>
        <v>2.0000000000000001E-4</v>
      </c>
      <c r="T56" t="s">
        <v>23</v>
      </c>
      <c r="U56">
        <v>20.925925929999998</v>
      </c>
      <c r="V56">
        <v>9.0740740740000003</v>
      </c>
    </row>
    <row r="57" spans="1:22" x14ac:dyDescent="0.4">
      <c r="A57" t="s">
        <v>11</v>
      </c>
      <c r="B57" t="s">
        <v>13</v>
      </c>
      <c r="C57" t="str">
        <f t="shared" si="4"/>
        <v>High SA Level</v>
      </c>
      <c r="D57" s="1" t="str">
        <f t="shared" si="5"/>
        <v>1.0</v>
      </c>
      <c r="E57">
        <v>21</v>
      </c>
      <c r="F57">
        <v>6</v>
      </c>
      <c r="G57">
        <v>2025</v>
      </c>
      <c r="I57">
        <v>7</v>
      </c>
      <c r="J57">
        <v>2025</v>
      </c>
      <c r="K57">
        <v>41</v>
      </c>
      <c r="L57">
        <v>11</v>
      </c>
      <c r="M57">
        <v>11</v>
      </c>
      <c r="N57">
        <v>1E-3</v>
      </c>
      <c r="O57">
        <v>8.9999999999999998E-4</v>
      </c>
      <c r="P57">
        <v>4</v>
      </c>
      <c r="Q57">
        <v>4</v>
      </c>
      <c r="R57">
        <f t="shared" si="6"/>
        <v>2.5000000000000001E-4</v>
      </c>
      <c r="S57">
        <f t="shared" si="7"/>
        <v>2.2499999999999999E-4</v>
      </c>
      <c r="T57" t="s">
        <v>23</v>
      </c>
      <c r="U57">
        <v>20.925925929999998</v>
      </c>
      <c r="V57">
        <v>9.0740740740000003</v>
      </c>
    </row>
    <row r="58" spans="1:22" x14ac:dyDescent="0.4">
      <c r="A58" t="s">
        <v>11</v>
      </c>
      <c r="B58" t="s">
        <v>12</v>
      </c>
      <c r="C58" t="str">
        <f t="shared" si="4"/>
        <v>Control</v>
      </c>
      <c r="D58" s="1" t="str">
        <f t="shared" si="5"/>
        <v>0.0</v>
      </c>
      <c r="E58">
        <v>21</v>
      </c>
      <c r="F58">
        <v>6</v>
      </c>
      <c r="G58">
        <v>2025</v>
      </c>
      <c r="I58">
        <v>7</v>
      </c>
      <c r="J58">
        <v>2025</v>
      </c>
      <c r="K58">
        <v>43</v>
      </c>
      <c r="L58">
        <v>1</v>
      </c>
      <c r="M58">
        <v>13</v>
      </c>
      <c r="N58">
        <v>4.0000000000000002E-4</v>
      </c>
      <c r="O58">
        <v>2.0000000000000001E-4</v>
      </c>
      <c r="P58">
        <v>2</v>
      </c>
      <c r="Q58">
        <v>1</v>
      </c>
      <c r="R58">
        <f t="shared" si="6"/>
        <v>2.0000000000000001E-4</v>
      </c>
      <c r="S58">
        <f t="shared" si="7"/>
        <v>2.0000000000000001E-4</v>
      </c>
      <c r="T58" t="s">
        <v>23</v>
      </c>
      <c r="U58">
        <v>6.1111111109999996</v>
      </c>
      <c r="V58">
        <v>6.1111111109999996</v>
      </c>
    </row>
    <row r="59" spans="1:22" x14ac:dyDescent="0.4">
      <c r="A59" t="s">
        <v>11</v>
      </c>
      <c r="B59" t="s">
        <v>15</v>
      </c>
      <c r="C59" t="str">
        <f t="shared" si="4"/>
        <v>Water Only</v>
      </c>
      <c r="D59" s="1" t="str">
        <f t="shared" si="5"/>
        <v>0.0</v>
      </c>
      <c r="E59">
        <v>21</v>
      </c>
      <c r="F59">
        <v>6</v>
      </c>
      <c r="G59">
        <v>2025</v>
      </c>
      <c r="I59">
        <v>7</v>
      </c>
      <c r="J59">
        <v>2025</v>
      </c>
      <c r="K59">
        <v>43</v>
      </c>
      <c r="L59">
        <v>1</v>
      </c>
      <c r="M59">
        <v>13</v>
      </c>
      <c r="N59">
        <v>2.9999999999999997E-4</v>
      </c>
      <c r="O59">
        <v>1E-4</v>
      </c>
      <c r="P59">
        <v>2</v>
      </c>
      <c r="Q59">
        <v>2</v>
      </c>
      <c r="R59">
        <f t="shared" si="6"/>
        <v>1.4999999999999999E-4</v>
      </c>
      <c r="S59">
        <f t="shared" si="7"/>
        <v>5.0000000000000002E-5</v>
      </c>
      <c r="T59" t="s">
        <v>23</v>
      </c>
      <c r="U59">
        <v>6.1111111109999996</v>
      </c>
      <c r="V59">
        <v>6.1111111109999996</v>
      </c>
    </row>
    <row r="60" spans="1:22" x14ac:dyDescent="0.4">
      <c r="A60" t="s">
        <v>11</v>
      </c>
      <c r="B60" t="s">
        <v>14</v>
      </c>
      <c r="C60" t="str">
        <f t="shared" si="4"/>
        <v>Low SA Level</v>
      </c>
      <c r="D60" s="1" t="str">
        <f t="shared" si="5"/>
        <v>0.5</v>
      </c>
      <c r="E60">
        <v>21</v>
      </c>
      <c r="F60">
        <v>6</v>
      </c>
      <c r="G60">
        <v>2025</v>
      </c>
      <c r="I60">
        <v>7</v>
      </c>
      <c r="J60">
        <v>2025</v>
      </c>
      <c r="K60">
        <v>43</v>
      </c>
      <c r="L60">
        <v>1</v>
      </c>
      <c r="M60">
        <v>13</v>
      </c>
      <c r="N60">
        <v>2.0000000000000001E-4</v>
      </c>
      <c r="O60">
        <v>5.0000000000000001E-4</v>
      </c>
      <c r="P60">
        <v>2</v>
      </c>
      <c r="Q60">
        <v>2</v>
      </c>
      <c r="R60">
        <f t="shared" si="6"/>
        <v>1E-4</v>
      </c>
      <c r="S60">
        <f t="shared" si="7"/>
        <v>2.5000000000000001E-4</v>
      </c>
      <c r="T60" t="s">
        <v>23</v>
      </c>
      <c r="U60">
        <v>6.1111111109999996</v>
      </c>
      <c r="V60">
        <v>6.1111111109999996</v>
      </c>
    </row>
    <row r="61" spans="1:22" x14ac:dyDescent="0.4">
      <c r="A61" t="s">
        <v>11</v>
      </c>
      <c r="B61" t="s">
        <v>13</v>
      </c>
      <c r="C61" t="str">
        <f t="shared" si="4"/>
        <v>High SA Level</v>
      </c>
      <c r="D61" s="1" t="str">
        <f t="shared" si="5"/>
        <v>1.0</v>
      </c>
      <c r="E61">
        <v>21</v>
      </c>
      <c r="F61">
        <v>6</v>
      </c>
      <c r="G61">
        <v>2025</v>
      </c>
      <c r="I61">
        <v>7</v>
      </c>
      <c r="J61">
        <v>2025</v>
      </c>
      <c r="K61">
        <v>43</v>
      </c>
      <c r="L61">
        <v>1</v>
      </c>
      <c r="M61">
        <v>13</v>
      </c>
      <c r="N61">
        <v>1E-4</v>
      </c>
      <c r="O61">
        <v>5.0000000000000001E-4</v>
      </c>
      <c r="P61">
        <v>3</v>
      </c>
      <c r="Q61">
        <v>3</v>
      </c>
      <c r="R61">
        <f t="shared" si="6"/>
        <v>3.3333333333333335E-5</v>
      </c>
      <c r="S61">
        <f t="shared" si="7"/>
        <v>1.6666666666666666E-4</v>
      </c>
      <c r="T61" t="s">
        <v>23</v>
      </c>
      <c r="U61">
        <v>6.1111111109999996</v>
      </c>
      <c r="V61">
        <v>6.1111111109999996</v>
      </c>
    </row>
    <row r="62" spans="1:22" x14ac:dyDescent="0.4">
      <c r="A62" t="s">
        <v>11</v>
      </c>
      <c r="B62" t="s">
        <v>12</v>
      </c>
      <c r="C62" t="str">
        <f t="shared" si="4"/>
        <v>Control</v>
      </c>
      <c r="D62" s="1" t="str">
        <f t="shared" si="5"/>
        <v>0.0</v>
      </c>
      <c r="E62">
        <v>21</v>
      </c>
      <c r="F62">
        <v>6</v>
      </c>
      <c r="G62">
        <v>2025</v>
      </c>
      <c r="I62">
        <v>7</v>
      </c>
      <c r="J62">
        <v>2025</v>
      </c>
      <c r="K62">
        <v>46</v>
      </c>
      <c r="L62">
        <v>7</v>
      </c>
      <c r="M62">
        <v>13</v>
      </c>
      <c r="N62">
        <v>6.9999999999999999E-4</v>
      </c>
      <c r="O62">
        <v>1.2999999999999999E-3</v>
      </c>
      <c r="P62">
        <v>4</v>
      </c>
      <c r="Q62">
        <v>4</v>
      </c>
      <c r="R62">
        <f t="shared" si="6"/>
        <v>1.75E-4</v>
      </c>
      <c r="S62">
        <f t="shared" si="7"/>
        <v>3.2499999999999999E-4</v>
      </c>
      <c r="T62" t="s">
        <v>23</v>
      </c>
      <c r="U62">
        <v>15</v>
      </c>
      <c r="V62">
        <v>6.1111111109999996</v>
      </c>
    </row>
    <row r="63" spans="1:22" x14ac:dyDescent="0.4">
      <c r="A63" t="s">
        <v>11</v>
      </c>
      <c r="B63" t="s">
        <v>15</v>
      </c>
      <c r="C63" t="str">
        <f t="shared" si="4"/>
        <v>Water Only</v>
      </c>
      <c r="D63" s="1" t="str">
        <f t="shared" si="5"/>
        <v>0.0</v>
      </c>
      <c r="E63">
        <v>21</v>
      </c>
      <c r="F63">
        <v>6</v>
      </c>
      <c r="G63">
        <v>2025</v>
      </c>
      <c r="I63">
        <v>7</v>
      </c>
      <c r="J63">
        <v>2025</v>
      </c>
      <c r="K63">
        <v>46</v>
      </c>
      <c r="L63">
        <v>7</v>
      </c>
      <c r="M63">
        <v>13</v>
      </c>
      <c r="N63">
        <v>2.9999999999999997E-4</v>
      </c>
      <c r="O63">
        <v>2.9999999999999997E-4</v>
      </c>
      <c r="P63">
        <v>1</v>
      </c>
      <c r="Q63">
        <v>2</v>
      </c>
      <c r="R63">
        <f t="shared" si="6"/>
        <v>2.9999999999999997E-4</v>
      </c>
      <c r="S63">
        <f t="shared" si="7"/>
        <v>1.4999999999999999E-4</v>
      </c>
      <c r="T63" t="s">
        <v>23</v>
      </c>
      <c r="U63">
        <v>15</v>
      </c>
      <c r="V63">
        <v>6.1111111109999996</v>
      </c>
    </row>
    <row r="64" spans="1:22" x14ac:dyDescent="0.4">
      <c r="A64" t="s">
        <v>11</v>
      </c>
      <c r="B64" t="s">
        <v>14</v>
      </c>
      <c r="C64" t="str">
        <f t="shared" si="4"/>
        <v>Low SA Level</v>
      </c>
      <c r="D64" s="1" t="str">
        <f t="shared" si="5"/>
        <v>0.5</v>
      </c>
      <c r="E64">
        <v>21</v>
      </c>
      <c r="F64">
        <v>6</v>
      </c>
      <c r="G64">
        <v>2025</v>
      </c>
      <c r="I64">
        <v>7</v>
      </c>
      <c r="J64">
        <v>2025</v>
      </c>
      <c r="K64">
        <v>46</v>
      </c>
      <c r="L64">
        <v>7</v>
      </c>
      <c r="M64">
        <v>13</v>
      </c>
      <c r="N64">
        <v>2.9999999999999997E-4</v>
      </c>
      <c r="O64">
        <v>4.0000000000000002E-4</v>
      </c>
      <c r="P64">
        <v>2</v>
      </c>
      <c r="Q64">
        <v>2</v>
      </c>
      <c r="R64">
        <f t="shared" si="6"/>
        <v>1.4999999999999999E-4</v>
      </c>
      <c r="S64">
        <f t="shared" si="7"/>
        <v>2.0000000000000001E-4</v>
      </c>
      <c r="T64" t="s">
        <v>23</v>
      </c>
      <c r="U64">
        <v>15</v>
      </c>
      <c r="V64">
        <v>6.1111111109999996</v>
      </c>
    </row>
    <row r="65" spans="1:22" x14ac:dyDescent="0.4">
      <c r="A65" t="s">
        <v>11</v>
      </c>
      <c r="B65" t="s">
        <v>13</v>
      </c>
      <c r="C65" t="str">
        <f t="shared" si="4"/>
        <v>High SA Level</v>
      </c>
      <c r="D65" s="1" t="str">
        <f t="shared" si="5"/>
        <v>1.0</v>
      </c>
      <c r="E65">
        <v>21</v>
      </c>
      <c r="F65">
        <v>6</v>
      </c>
      <c r="G65">
        <v>2025</v>
      </c>
      <c r="I65">
        <v>7</v>
      </c>
      <c r="J65">
        <v>2025</v>
      </c>
      <c r="K65">
        <v>46</v>
      </c>
      <c r="L65">
        <v>7</v>
      </c>
      <c r="M65">
        <v>13</v>
      </c>
      <c r="N65">
        <v>2.0000000000000001E-4</v>
      </c>
      <c r="O65">
        <v>8.9999999999999998E-4</v>
      </c>
      <c r="P65">
        <v>3</v>
      </c>
      <c r="Q65">
        <v>3</v>
      </c>
      <c r="R65">
        <f t="shared" si="6"/>
        <v>6.666666666666667E-5</v>
      </c>
      <c r="S65">
        <f t="shared" si="7"/>
        <v>2.9999999999999997E-4</v>
      </c>
      <c r="T65" t="s">
        <v>23</v>
      </c>
      <c r="U65">
        <v>15</v>
      </c>
      <c r="V65">
        <v>6.1111111109999996</v>
      </c>
    </row>
    <row r="66" spans="1:22" x14ac:dyDescent="0.4">
      <c r="A66" t="s">
        <v>11</v>
      </c>
      <c r="B66" t="s">
        <v>12</v>
      </c>
      <c r="C66" t="str">
        <f t="shared" ref="C66:C97" si="8">IF(B66="L","Low SA Level",IF(B66="C","Control",IF(B66="W","Water Only",IF(B66="H","High SA Level"))))</f>
        <v>Control</v>
      </c>
      <c r="D66" s="1" t="str">
        <f t="shared" si="5"/>
        <v>0.0</v>
      </c>
      <c r="E66">
        <v>21</v>
      </c>
      <c r="F66">
        <v>6</v>
      </c>
      <c r="G66">
        <v>2025</v>
      </c>
      <c r="I66">
        <v>7</v>
      </c>
      <c r="J66">
        <v>2025</v>
      </c>
      <c r="K66">
        <v>49</v>
      </c>
      <c r="L66">
        <v>13</v>
      </c>
      <c r="M66">
        <v>13</v>
      </c>
      <c r="N66">
        <v>8.9999999999999998E-4</v>
      </c>
      <c r="O66">
        <v>1.1000000000000001E-3</v>
      </c>
      <c r="P66">
        <v>4</v>
      </c>
      <c r="Q66">
        <v>4</v>
      </c>
      <c r="R66">
        <f t="shared" si="6"/>
        <v>2.2499999999999999E-4</v>
      </c>
      <c r="S66">
        <f t="shared" si="7"/>
        <v>2.7500000000000002E-4</v>
      </c>
      <c r="T66" t="s">
        <v>23</v>
      </c>
      <c r="U66">
        <v>23.88888889</v>
      </c>
      <c r="V66">
        <v>6.1111111109999996</v>
      </c>
    </row>
    <row r="67" spans="1:22" x14ac:dyDescent="0.4">
      <c r="A67" t="s">
        <v>11</v>
      </c>
      <c r="B67" t="s">
        <v>15</v>
      </c>
      <c r="C67" t="str">
        <f t="shared" si="8"/>
        <v>Water Only</v>
      </c>
      <c r="D67" s="1" t="str">
        <f t="shared" si="5"/>
        <v>0.0</v>
      </c>
      <c r="E67">
        <v>21</v>
      </c>
      <c r="F67">
        <v>6</v>
      </c>
      <c r="G67">
        <v>2025</v>
      </c>
      <c r="I67">
        <v>7</v>
      </c>
      <c r="J67">
        <v>2025</v>
      </c>
      <c r="K67">
        <v>49</v>
      </c>
      <c r="L67">
        <v>13</v>
      </c>
      <c r="M67">
        <v>13</v>
      </c>
      <c r="N67">
        <v>5.9999999999999995E-4</v>
      </c>
      <c r="O67">
        <v>6.9999999999999999E-4</v>
      </c>
      <c r="P67">
        <v>4</v>
      </c>
      <c r="Q67">
        <v>4</v>
      </c>
      <c r="R67">
        <f t="shared" si="6"/>
        <v>1.4999999999999999E-4</v>
      </c>
      <c r="S67">
        <f t="shared" si="7"/>
        <v>1.75E-4</v>
      </c>
      <c r="T67" t="s">
        <v>23</v>
      </c>
      <c r="U67">
        <v>23.88888889</v>
      </c>
      <c r="V67">
        <v>6.1111111109999996</v>
      </c>
    </row>
    <row r="68" spans="1:22" x14ac:dyDescent="0.4">
      <c r="A68" t="s">
        <v>11</v>
      </c>
      <c r="B68" t="s">
        <v>14</v>
      </c>
      <c r="C68" t="str">
        <f t="shared" si="8"/>
        <v>Low SA Level</v>
      </c>
      <c r="D68" s="1" t="str">
        <f t="shared" si="5"/>
        <v>0.5</v>
      </c>
      <c r="E68">
        <v>21</v>
      </c>
      <c r="F68">
        <v>6</v>
      </c>
      <c r="G68">
        <v>2025</v>
      </c>
      <c r="I68">
        <v>7</v>
      </c>
      <c r="J68">
        <v>2025</v>
      </c>
      <c r="K68">
        <v>49</v>
      </c>
      <c r="L68">
        <v>13</v>
      </c>
      <c r="M68">
        <v>13</v>
      </c>
      <c r="N68">
        <v>2.0000000000000001E-4</v>
      </c>
      <c r="O68">
        <v>5.9999999999999995E-4</v>
      </c>
      <c r="P68">
        <v>3</v>
      </c>
      <c r="Q68">
        <v>2</v>
      </c>
      <c r="R68">
        <f t="shared" si="6"/>
        <v>6.666666666666667E-5</v>
      </c>
      <c r="S68">
        <f t="shared" si="7"/>
        <v>2.9999999999999997E-4</v>
      </c>
      <c r="T68" t="s">
        <v>23</v>
      </c>
      <c r="U68">
        <v>23.88888889</v>
      </c>
      <c r="V68">
        <v>6.1111111109999996</v>
      </c>
    </row>
    <row r="69" spans="1:22" x14ac:dyDescent="0.4">
      <c r="A69" t="s">
        <v>11</v>
      </c>
      <c r="B69" t="s">
        <v>13</v>
      </c>
      <c r="C69" t="str">
        <f t="shared" si="8"/>
        <v>High SA Level</v>
      </c>
      <c r="D69" s="1" t="str">
        <f t="shared" si="5"/>
        <v>1.0</v>
      </c>
      <c r="E69">
        <v>21</v>
      </c>
      <c r="F69">
        <v>6</v>
      </c>
      <c r="G69">
        <v>2025</v>
      </c>
      <c r="I69">
        <v>7</v>
      </c>
      <c r="J69">
        <v>2025</v>
      </c>
      <c r="K69">
        <v>49</v>
      </c>
      <c r="L69">
        <v>13</v>
      </c>
      <c r="M69">
        <v>13</v>
      </c>
      <c r="N69">
        <v>5.0000000000000001E-4</v>
      </c>
      <c r="O69">
        <v>5.0000000000000001E-4</v>
      </c>
      <c r="P69">
        <v>3</v>
      </c>
      <c r="Q69">
        <v>2</v>
      </c>
      <c r="R69">
        <f t="shared" si="6"/>
        <v>1.6666666666666666E-4</v>
      </c>
      <c r="S69">
        <f t="shared" si="7"/>
        <v>2.5000000000000001E-4</v>
      </c>
      <c r="T69" t="s">
        <v>23</v>
      </c>
      <c r="U69">
        <v>23.88888889</v>
      </c>
      <c r="V69">
        <v>6.1111111109999996</v>
      </c>
    </row>
    <row r="70" spans="1:22" x14ac:dyDescent="0.4">
      <c r="D70" s="1"/>
    </row>
    <row r="71" spans="1:22" x14ac:dyDescent="0.4">
      <c r="D71" s="1"/>
    </row>
    <row r="72" spans="1:22" x14ac:dyDescent="0.4">
      <c r="D72" s="1"/>
    </row>
    <row r="73" spans="1:22" x14ac:dyDescent="0.4">
      <c r="D73" s="1"/>
    </row>
    <row r="74" spans="1:22" x14ac:dyDescent="0.4">
      <c r="D74" s="1"/>
    </row>
    <row r="75" spans="1:22" x14ac:dyDescent="0.4">
      <c r="D75" s="1"/>
    </row>
    <row r="76" spans="1:22" x14ac:dyDescent="0.4">
      <c r="D76" s="1"/>
    </row>
    <row r="77" spans="1:22" x14ac:dyDescent="0.4">
      <c r="D77" s="1"/>
    </row>
    <row r="78" spans="1:22" x14ac:dyDescent="0.4">
      <c r="D78" s="1"/>
    </row>
    <row r="79" spans="1:22" x14ac:dyDescent="0.4">
      <c r="D79" s="1"/>
    </row>
    <row r="80" spans="1:22" x14ac:dyDescent="0.4">
      <c r="D80" s="1"/>
    </row>
    <row r="81" spans="4:4" x14ac:dyDescent="0.4">
      <c r="D81" s="1"/>
    </row>
    <row r="82" spans="4:4" x14ac:dyDescent="0.4">
      <c r="D82" s="1"/>
    </row>
    <row r="83" spans="4:4" x14ac:dyDescent="0.4">
      <c r="D83" s="1"/>
    </row>
    <row r="84" spans="4:4" x14ac:dyDescent="0.4">
      <c r="D84" s="1"/>
    </row>
    <row r="85" spans="4:4" x14ac:dyDescent="0.4">
      <c r="D85" s="1"/>
    </row>
  </sheetData>
  <sortState xmlns:xlrd2="http://schemas.microsoft.com/office/spreadsheetml/2017/richdata2" ref="A2:T69">
    <sortCondition ref="K2:K69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SA_POSE_Data_TEM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2026-03-06T21:46:57Z</dcterms:modified>
</cp:coreProperties>
</file>